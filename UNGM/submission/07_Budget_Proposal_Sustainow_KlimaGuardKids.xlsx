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ab 1 Project Design Budget" sheetId="1" state="visible" r:id="rId1"/>
    <sheet xmlns:r="http://schemas.openxmlformats.org/officeDocument/2006/relationships" name="Tab 2  Company 1-YR Budget" sheetId="2" state="visible" r:id="rId2"/>
    <sheet xmlns:r="http://schemas.openxmlformats.org/officeDocument/2006/relationships"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MoUs &amp; protocol</t>
        </is>
      </c>
      <c r="C8" s="105" t="n">
        <v>4000</v>
      </c>
      <c r="D8" s="105" t="n"/>
    </row>
    <row r="9" ht="15.65" customHeight="1">
      <c r="A9" s="49" t="inlineStr">
        <is>
          <t>Activity 2</t>
        </is>
      </c>
      <c r="B9" s="50" t="inlineStr">
        <is>
          <t>Partner onboarding</t>
        </is>
      </c>
      <c r="C9" s="105" t="n">
        <v>3000</v>
      </c>
      <c r="D9" s="105" t="n"/>
    </row>
    <row r="10" ht="15.65" customHeight="1">
      <c r="A10" s="49" t="n"/>
      <c r="B10" s="50" t="inlineStr">
        <is>
          <t>Baseline survey design</t>
        </is>
      </c>
      <c r="C10" s="105" t="n">
        <v>2000</v>
      </c>
      <c r="D10" s="105" t="n"/>
    </row>
    <row r="11" ht="15.65" customHeight="1">
      <c r="A11" s="61" t="inlineStr">
        <is>
          <t>Milestone 2</t>
        </is>
      </c>
      <c r="B11" s="50" t="inlineStr">
        <is>
          <t>i18n foundation</t>
        </is>
      </c>
      <c r="C11" s="105" t="n">
        <v>5000</v>
      </c>
      <c r="D11" s="105" t="n"/>
    </row>
    <row r="12" ht="15.65" customHeight="1">
      <c r="A12" s="49" t="inlineStr">
        <is>
          <t>Activity 1</t>
        </is>
      </c>
      <c r="B12" s="50" t="inlineStr">
        <is>
          <t>String extraction/l10n</t>
        </is>
      </c>
      <c r="C12" s="105" t="n">
        <v>3000</v>
      </c>
      <c r="D12" s="105" t="n"/>
    </row>
    <row r="13" ht="15.65" customHeight="1">
      <c r="A13" s="49" t="inlineStr">
        <is>
          <t>Activity 2</t>
        </is>
      </c>
      <c r="B13" s="50" t="inlineStr">
        <is>
          <t>Accessibility pass</t>
        </is>
      </c>
      <c r="C13" s="105" t="n">
        <v>2000</v>
      </c>
      <c r="D13" s="105" t="n"/>
    </row>
    <row r="14" ht="15.65" customHeight="1">
      <c r="A14" s="49" t="n"/>
      <c r="B14" s="50" t="inlineStr">
        <is>
          <t>KPI/data feed</t>
        </is>
      </c>
      <c r="C14" s="105" t="n">
        <v>3000</v>
      </c>
      <c r="D14" s="105" t="n"/>
    </row>
    <row r="15" ht="15.65" customHeight="1">
      <c r="A15" s="61" t="inlineStr">
        <is>
          <t>Milestone 3</t>
        </is>
      </c>
      <c r="B15" s="50" t="inlineStr">
        <is>
          <t>Analytics pipeline</t>
        </is>
      </c>
      <c r="C15" s="105" t="n">
        <v>2000</v>
      </c>
      <c r="D15" s="105" t="n"/>
    </row>
    <row r="16" ht="17.5" customHeight="1">
      <c r="A16" s="49" t="inlineStr">
        <is>
          <t>Activity 1</t>
        </is>
      </c>
      <c r="B16" s="50" t="inlineStr">
        <is>
          <t>Registry expansion</t>
        </is>
      </c>
      <c r="C16" s="105" t="n">
        <v>1000</v>
      </c>
      <c r="D16" s="105" t="n"/>
    </row>
    <row r="17" ht="17.9" customFormat="1" customHeight="1" s="2">
      <c r="A17" s="49" t="inlineStr">
        <is>
          <t>Activity 2</t>
        </is>
      </c>
      <c r="B17" s="50" t="n"/>
      <c r="C17" s="105" t="n"/>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n"/>
      <c r="C20" s="105" t="n"/>
      <c r="D20" s="105" t="n"/>
    </row>
    <row r="21" ht="15.65" customHeight="1">
      <c r="A21" s="64" t="inlineStr">
        <is>
          <t>Activity 2</t>
        </is>
      </c>
      <c r="B21" s="50" t="n"/>
      <c r="C21" s="105" t="n"/>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6000</v>
      </c>
      <c r="D25" s="105" t="n"/>
    </row>
    <row r="26" ht="20.15" customHeight="1">
      <c r="A26" s="49" t="inlineStr">
        <is>
          <t>Activity 2</t>
        </is>
      </c>
      <c r="B26" s="50" t="inlineStr">
        <is>
          <t>SW + cache</t>
        </is>
      </c>
      <c r="C26" s="105" t="n">
        <v>3000</v>
      </c>
      <c r="D26" s="105" t="n"/>
    </row>
    <row r="27" ht="17.9" customHeight="1">
      <c r="A27" s="49" t="n"/>
      <c r="B27" s="50" t="n"/>
      <c r="C27" s="105" t="n"/>
      <c r="D27" s="105" t="n"/>
    </row>
    <row r="28" ht="17.9" customHeight="1">
      <c r="A28" s="61" t="inlineStr">
        <is>
          <t>Milestone 2</t>
        </is>
      </c>
      <c r="B28" s="50" t="inlineStr">
        <is>
          <t>National feed adapters</t>
        </is>
      </c>
      <c r="C28" s="105" t="n">
        <v>5000</v>
      </c>
      <c r="D28" s="105" t="n"/>
    </row>
    <row r="29">
      <c r="A29" s="49" t="inlineStr">
        <is>
          <t>Activity 1</t>
        </is>
      </c>
      <c r="B29" s="50" t="inlineStr">
        <is>
          <t>IMD/CPCB design</t>
        </is>
      </c>
      <c r="C29" s="105" t="n">
        <v>2000</v>
      </c>
      <c r="D29" s="105" t="n"/>
    </row>
    <row r="30">
      <c r="A30" s="49" t="inlineStr">
        <is>
          <t>Activity 2</t>
        </is>
      </c>
      <c r="B30" s="50" t="n"/>
      <c r="C30" s="105" t="n"/>
      <c r="D30" s="105" t="n"/>
    </row>
    <row r="31">
      <c r="A31" s="49" t="n"/>
      <c r="B31" s="50" t="inlineStr">
        <is>
          <t>School pilot wave 1</t>
        </is>
      </c>
      <c r="C31" s="105" t="n">
        <v>5000</v>
      </c>
      <c r="D31" s="105" t="n"/>
    </row>
    <row r="32">
      <c r="A32" s="61" t="inlineStr">
        <is>
          <t>Milestone 3</t>
        </is>
      </c>
      <c r="B32" s="50" t="inlineStr">
        <is>
          <t>CHW workshops</t>
        </is>
      </c>
      <c r="C32" s="105" t="n">
        <v>3000</v>
      </c>
      <c r="D32" s="105" t="n"/>
    </row>
    <row r="33">
      <c r="A33" s="49" t="inlineStr">
        <is>
          <t>Activity 1</t>
        </is>
      </c>
      <c r="B33" s="62" t="n"/>
      <c r="C33" s="105" t="n"/>
      <c r="D33" s="105" t="n"/>
    </row>
    <row r="34">
      <c r="A34" s="49" t="inlineStr">
        <is>
          <t>Activity 2</t>
        </is>
      </c>
      <c r="B34" s="62" t="inlineStr">
        <is>
          <t>DHIS2 spike</t>
        </is>
      </c>
      <c r="C34" s="105" t="n">
        <v>3000</v>
      </c>
      <c r="D34" s="105" t="n"/>
    </row>
    <row r="35">
      <c r="A35" s="49" t="n"/>
      <c r="B35" s="62" t="inlineStr">
        <is>
          <t>Indicator mapping</t>
        </is>
      </c>
      <c r="C35" s="105" t="n">
        <v>2000</v>
      </c>
      <c r="D35" s="105" t="n"/>
    </row>
    <row r="36">
      <c r="A36" s="61" t="inlineStr">
        <is>
          <t>Milestone 4</t>
        </is>
      </c>
      <c r="B36" s="62" t="n"/>
      <c r="C36" s="105" t="n"/>
      <c r="D36" s="105" t="n"/>
    </row>
    <row r="37">
      <c r="A37" s="49" t="inlineStr">
        <is>
          <t>Activity 1</t>
        </is>
      </c>
      <c r="B37" s="62" t="n"/>
      <c r="C37" s="105" t="n"/>
      <c r="D37" s="105" t="n"/>
    </row>
    <row r="38">
      <c r="A38" s="64" t="inlineStr">
        <is>
          <t>Activity 2</t>
        </is>
      </c>
      <c r="B38" s="62" t="n"/>
      <c r="C38" s="105" t="n"/>
      <c r="D38" s="105" t="n"/>
    </row>
    <row r="39">
      <c r="A39" s="64" t="n"/>
      <c r="B39" s="62" t="n"/>
      <c r="C39" s="105" t="n"/>
      <c r="D39" s="105" t="n"/>
    </row>
    <row r="40">
      <c r="A40" s="140" t="inlineStr">
        <is>
          <t>Quarter 3 total</t>
        </is>
      </c>
      <c r="B40" s="141" t="n"/>
      <c r="C40" s="51" t="n"/>
      <c r="D40" s="51" t="n"/>
    </row>
    <row r="41" ht="17.9" customHeight="1">
      <c r="A41" s="61" t="inlineStr">
        <is>
          <t>Milestone 1</t>
        </is>
      </c>
      <c r="B41" s="50" t="inlineStr">
        <is>
          <t>Midline evaluation</t>
        </is>
      </c>
      <c r="C41" s="105" t="n">
        <v>4000</v>
      </c>
      <c r="D41" s="105" t="n"/>
    </row>
    <row r="42" ht="17.9" customHeight="1">
      <c r="A42" s="49" t="inlineStr">
        <is>
          <t>Activity 1</t>
        </is>
      </c>
      <c r="B42" s="50" t="inlineStr">
        <is>
          <t>Cross-site analysis</t>
        </is>
      </c>
      <c r="C42" s="105" t="n">
        <v>2000</v>
      </c>
      <c r="D42" s="105" t="n"/>
    </row>
    <row r="43">
      <c r="A43" s="49" t="inlineStr">
        <is>
          <t>Activity 2</t>
        </is>
      </c>
      <c r="B43" s="50" t="inlineStr">
        <is>
          <t>Language pack completion</t>
        </is>
      </c>
      <c r="C43" s="105" t="n">
        <v>4000</v>
      </c>
      <c r="D43" s="105" t="n"/>
    </row>
    <row r="44">
      <c r="A44" s="49" t="n"/>
      <c r="B44" s="50" t="inlineStr">
        <is>
          <t>OSS contributor sprint</t>
        </is>
      </c>
      <c r="C44" s="105" t="n">
        <v>2000</v>
      </c>
      <c r="D44" s="105" t="n"/>
    </row>
    <row r="45">
      <c r="A45" s="61" t="inlineStr">
        <is>
          <t>Milestone 2</t>
        </is>
      </c>
      <c r="B45" s="50" t="inlineStr">
        <is>
          <t>Safeguarding/privacy review</t>
        </is>
      </c>
      <c r="C45" s="105" t="n">
        <v>4000</v>
      </c>
      <c r="D45" s="105" t="n"/>
    </row>
    <row r="46">
      <c r="A46" s="49" t="inlineStr">
        <is>
          <t>Activity 1</t>
        </is>
      </c>
      <c r="B46" s="50" t="inlineStr">
        <is>
          <t>Child-data policy pack</t>
        </is>
      </c>
      <c r="C46" s="105" t="n">
        <v>2000</v>
      </c>
      <c r="D46" s="105" t="n"/>
    </row>
    <row r="47">
      <c r="A47" s="49" t="inlineStr">
        <is>
          <t>Activity 2</t>
        </is>
      </c>
      <c r="B47" s="50" t="inlineStr">
        <is>
          <t>Partner API integration</t>
        </is>
      </c>
      <c r="C47" s="105" t="n">
        <v>4000</v>
      </c>
      <c r="D47" s="105" t="n"/>
    </row>
    <row r="48">
      <c r="A48" s="49" t="n"/>
      <c r="B48" s="50" t="inlineStr">
        <is>
          <t>Pilot operations Q3</t>
        </is>
      </c>
      <c r="C48" s="105" t="n">
        <v>2000</v>
      </c>
      <c r="D48" s="105" t="n"/>
    </row>
    <row r="49">
      <c r="A49" s="61" t="inlineStr">
        <is>
          <t>Milestone 3</t>
        </is>
      </c>
      <c r="B49" s="50" t="n"/>
      <c r="C49" s="105" t="n"/>
      <c r="D49" s="105" t="n"/>
    </row>
    <row r="50">
      <c r="A50" s="49" t="inlineStr">
        <is>
          <t>Activity 1</t>
        </is>
      </c>
      <c r="B50" s="50" t="n"/>
      <c r="C50" s="105" t="n"/>
      <c r="D50" s="105" t="n"/>
    </row>
    <row r="51">
      <c r="A51" s="49" t="inlineStr">
        <is>
          <t>Activity 2</t>
        </is>
      </c>
      <c r="B51" s="50" t="n"/>
      <c r="C51" s="105" t="n"/>
      <c r="D51" s="105" t="n"/>
    </row>
    <row r="52">
      <c r="A52" s="49" t="n"/>
      <c r="B52" s="50" t="n"/>
      <c r="C52" s="105" t="n"/>
      <c r="D52" s="105" t="n"/>
    </row>
    <row r="53">
      <c r="A53" s="61" t="inlineStr">
        <is>
          <t>Milestone 4</t>
        </is>
      </c>
      <c r="B53" s="50" t="n"/>
      <c r="C53" s="105" t="n"/>
      <c r="D53" s="105" t="n"/>
    </row>
    <row r="54">
      <c r="A54" s="49" t="inlineStr">
        <is>
          <t>Activity 1</t>
        </is>
      </c>
      <c r="B54" s="50" t="n"/>
      <c r="C54" s="105" t="n"/>
      <c r="D54" s="105" t="n"/>
    </row>
    <row r="55">
      <c r="A55" s="64" t="inlineStr">
        <is>
          <t>Activity 2</t>
        </is>
      </c>
      <c r="B55" s="50" t="n"/>
      <c r="C55" s="105" t="n"/>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inlineStr">
        <is>
          <t>Endline &amp; public brief</t>
        </is>
      </c>
      <c r="C58" s="105" t="n">
        <v>4000</v>
      </c>
      <c r="D58" s="105" t="n"/>
    </row>
    <row r="59">
      <c r="A59" s="49" t="inlineStr">
        <is>
          <t>Activity 1</t>
        </is>
      </c>
      <c r="B59" s="50" t="inlineStr">
        <is>
          <t>UNICEF learning package</t>
        </is>
      </c>
      <c r="C59" s="105" t="n">
        <v>3000</v>
      </c>
      <c r="D59" s="105" t="n"/>
    </row>
    <row r="60">
      <c r="A60" s="49" t="inlineStr">
        <is>
          <t>Activity 2</t>
        </is>
      </c>
      <c r="B60" s="50" t="inlineStr">
        <is>
          <t>v1.0 scale-ready release</t>
        </is>
      </c>
      <c r="C60" s="105" t="n">
        <v>4000</v>
      </c>
      <c r="D60" s="105" t="n"/>
    </row>
    <row r="61">
      <c r="A61" s="49" t="n"/>
      <c r="B61" s="50" t="inlineStr">
        <is>
          <t>Gov-cloud playbook</t>
        </is>
      </c>
      <c r="C61" s="105" t="n">
        <v>3000</v>
      </c>
      <c r="D61" s="105" t="n"/>
    </row>
    <row r="62">
      <c r="A62" s="61" t="inlineStr">
        <is>
          <t>Milestone 2</t>
        </is>
      </c>
      <c r="B62" s="50" t="inlineStr">
        <is>
          <t>Follow-on pipeline</t>
        </is>
      </c>
      <c r="C62" s="105" t="n">
        <v>2000</v>
      </c>
      <c r="D62" s="105" t="n"/>
    </row>
    <row r="63">
      <c r="A63" s="49" t="inlineStr">
        <is>
          <t>Activity 1</t>
        </is>
      </c>
      <c r="B63" s="50" t="inlineStr">
        <is>
          <t>Business model update</t>
        </is>
      </c>
      <c r="C63" s="105" t="n">
        <v>2000</v>
      </c>
      <c r="D63" s="105" t="n"/>
    </row>
    <row r="64">
      <c r="A64" s="49" t="inlineStr">
        <is>
          <t>Activity 2</t>
        </is>
      </c>
      <c r="B64" s="50" t="inlineStr">
        <is>
          <t>Knowledge transfer</t>
        </is>
      </c>
      <c r="C64" s="105" t="n">
        <v>3000</v>
      </c>
      <c r="D64" s="105" t="n"/>
    </row>
    <row r="65">
      <c r="A65" s="49" t="n"/>
      <c r="B65" s="50" t="inlineStr">
        <is>
          <t>Final UX/a11y polish</t>
        </is>
      </c>
      <c r="C65" s="105" t="n">
        <v>2000</v>
      </c>
      <c r="D65" s="105" t="n"/>
    </row>
    <row r="66">
      <c r="A66" s="61" t="inlineStr">
        <is>
          <t>Milestone 3</t>
        </is>
      </c>
      <c r="B66" s="52" t="n"/>
      <c r="C66" s="105" t="n"/>
      <c r="D66" s="105" t="n"/>
    </row>
    <row r="67">
      <c r="A67" s="49" t="inlineStr">
        <is>
          <t>Activity 1</t>
        </is>
      </c>
      <c r="B67" s="63" t="n"/>
      <c r="C67" s="106" t="n"/>
      <c r="D67" s="106" t="n"/>
    </row>
    <row r="68">
      <c r="A68" s="49" t="inlineStr">
        <is>
          <t>Activity 2</t>
        </is>
      </c>
      <c r="B68" s="63" t="n"/>
      <c r="C68" s="106" t="n"/>
      <c r="D68" s="106" t="n"/>
    </row>
    <row r="69">
      <c r="A69" s="49" t="n"/>
      <c r="B69" s="63" t="n"/>
      <c r="C69" s="107" t="n"/>
      <c r="D69" s="107" t="n"/>
    </row>
    <row r="70">
      <c r="A70" s="61" t="inlineStr">
        <is>
          <t>Milestone 4</t>
        </is>
      </c>
      <c r="B70" s="63" t="n"/>
      <c r="C70" s="106" t="n"/>
      <c r="D70" s="106" t="n"/>
    </row>
    <row r="71">
      <c r="A71" s="49" t="inlineStr">
        <is>
          <t>Activity 1</t>
        </is>
      </c>
      <c r="B71" s="63" t="n"/>
      <c r="C71" s="106" t="n"/>
      <c r="D71" s="106" t="n"/>
    </row>
    <row r="72">
      <c r="A72" s="64" t="inlineStr">
        <is>
          <t>Activity 2</t>
        </is>
      </c>
      <c r="B72" s="63" t="n"/>
      <c r="C72" s="106" t="n"/>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September 2026 to August 2027</t>
        </is>
      </c>
      <c r="B2" s="142" t="n"/>
      <c r="C2" s="142" t="n"/>
      <c r="D2" s="6" t="n"/>
    </row>
    <row r="3" ht="17.15" customHeight="1">
      <c r="A3" s="79" t="inlineStr">
        <is>
          <t>Sustainow Technologies Private Limited</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inlineStr">
        <is>
          <t>Pilot / implementation support revenue</t>
        </is>
      </c>
      <c r="B7" s="19" t="n">
        <v>10000</v>
      </c>
      <c r="C7" s="19" t="n">
        <v>15000</v>
      </c>
      <c r="D7" s="91" t="n"/>
      <c r="E7" s="81" t="n"/>
      <c r="F7" s="81" t="n"/>
      <c r="G7" s="97" t="n"/>
    </row>
    <row r="8" ht="15.5" customHeight="1">
      <c r="A8" s="67" t="inlineStr">
        <is>
          <t>CSR programme fees</t>
        </is>
      </c>
      <c r="B8" s="19" t="n">
        <v>5000</v>
      </c>
      <c r="C8" s="19" t="n">
        <v>15000</v>
      </c>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5" customHeight="1">
      <c r="A17" s="67" t="inlineStr">
        <is>
          <t>UNICEF Venture Fund seed</t>
        </is>
      </c>
      <c r="B17" s="19" t="n">
        <v>50000</v>
      </c>
      <c r="C17" s="19" t="n">
        <v>50000</v>
      </c>
      <c r="D17" s="91" t="n"/>
      <c r="E17" s="81" t="n"/>
      <c r="F17" s="81" t="n"/>
      <c r="G17" s="97" t="n"/>
    </row>
    <row r="18" ht="15.5" customHeight="1">
      <c r="A18" s="67" t="inlineStr">
        <is>
          <t>Founder capital contribution</t>
        </is>
      </c>
      <c r="B18" s="19" t="n">
        <v>10000</v>
      </c>
      <c r="C18" s="19" t="n">
        <v>10000</v>
      </c>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f>B6+B16</f>
        <v/>
      </c>
      <c r="C27" s="32">
        <f>C6+C16</f>
        <v/>
      </c>
      <c r="D27" s="32">
        <f>SUM(B27:C27)</f>
        <v/>
      </c>
      <c r="E27" s="82">
        <f>E6+E16</f>
        <v/>
      </c>
      <c r="F27" s="82">
        <f>F6+F16</f>
        <v/>
      </c>
      <c r="G27" s="82">
        <f>SUM(E27:F27)</f>
        <v/>
      </c>
    </row>
    <row r="28" ht="15.5" customFormat="1" customHeight="1" s="8">
      <c r="A28" s="70" t="n"/>
      <c r="B28" s="20" t="n"/>
      <c r="C28" s="20" t="n"/>
      <c r="D28" s="92" t="n"/>
      <c r="E28" s="83" t="n"/>
      <c r="F28" s="83" t="n"/>
      <c r="G28" s="98" t="n"/>
    </row>
    <row r="29" ht="31" customFormat="1" customHeight="1" s="27">
      <c r="A29" s="33" t="inlineStr">
        <is>
          <t>Salaries &amp; director stipends (KGK)</t>
        </is>
      </c>
      <c r="B29" s="28" t="n">
        <v>35000</v>
      </c>
      <c r="C29" s="28" t="n">
        <v>35000</v>
      </c>
      <c r="D29" s="93" t="n"/>
      <c r="E29" s="84" t="n"/>
      <c r="F29" s="84" t="n"/>
      <c r="G29" s="99" t="n"/>
    </row>
    <row r="30" ht="15.5" customHeight="1">
      <c r="A30" s="67" t="inlineStr">
        <is>
          <t>Contractors (FE, field, M&amp;E)</t>
        </is>
      </c>
      <c r="B30" s="19" t="n">
        <v>15000</v>
      </c>
      <c r="C30" s="19" t="n">
        <v>20000</v>
      </c>
      <c r="D30" s="91" t="n"/>
      <c r="E30" s="81" t="n"/>
      <c r="F30" s="81" t="n"/>
      <c r="G30" s="97" t="n"/>
    </row>
    <row r="31" ht="15.5" customHeight="1">
      <c r="A31" s="67" t="inlineStr">
        <is>
          <t>Cloud hosting, tooling, CI</t>
        </is>
      </c>
      <c r="B31" s="19" t="n">
        <v>3000</v>
      </c>
      <c r="C31" s="19" t="n">
        <v>3000</v>
      </c>
      <c r="D31" s="91" t="n"/>
      <c r="E31" s="81" t="n"/>
      <c r="F31" s="81" t="n"/>
      <c r="G31" s="97" t="n"/>
    </row>
    <row r="32" ht="15.5" customHeight="1">
      <c r="A32" s="67" t="inlineStr">
        <is>
          <t>Pilot travel &amp; workshops</t>
        </is>
      </c>
      <c r="B32" s="19" t="n">
        <v>5000</v>
      </c>
      <c r="C32" s="19" t="n">
        <v>8000</v>
      </c>
      <c r="D32" s="91" t="n"/>
      <c r="E32" s="81" t="n"/>
      <c r="F32" s="81" t="n"/>
      <c r="G32" s="97" t="n"/>
    </row>
    <row r="33" ht="15.5" customHeight="1">
      <c r="A33" s="67" t="inlineStr">
        <is>
          <t>General &amp; administration</t>
        </is>
      </c>
      <c r="B33" s="19" t="n">
        <v>4000</v>
      </c>
      <c r="C33" s="19" t="n">
        <v>4000</v>
      </c>
      <c r="D33" s="91" t="n"/>
      <c r="E33" s="81" t="n"/>
      <c r="F33" s="81" t="n"/>
      <c r="G33" s="97" t="n"/>
    </row>
    <row r="34" ht="15.5" customHeight="1">
      <c r="A34" s="67" t="inlineStr">
        <is>
          <t>Marketing &amp; community OSS</t>
        </is>
      </c>
      <c r="B34" s="19" t="n">
        <v>3000</v>
      </c>
      <c r="C34" s="19" t="n">
        <v>5000</v>
      </c>
      <c r="D34" s="91" t="n"/>
      <c r="E34" s="81" t="n"/>
      <c r="F34" s="81" t="n"/>
      <c r="G34" s="97" t="n"/>
    </row>
    <row r="35" ht="15.5" customHeight="1">
      <c r="A35" s="67" t="n"/>
      <c r="B35" s="19" t="n"/>
      <c r="C35" s="19" t="n"/>
      <c r="D35" s="91" t="n"/>
      <c r="E35" s="81" t="n"/>
      <c r="F35" s="81" t="n"/>
      <c r="G35" s="97" t="n"/>
    </row>
    <row r="36" ht="15.5" customHeight="1">
      <c r="A36" s="68" t="n"/>
      <c r="B36" s="19" t="n"/>
      <c r="C36" s="19" t="n"/>
      <c r="D36" s="91" t="n"/>
      <c r="E36" s="81" t="n"/>
      <c r="F36" s="81" t="n"/>
      <c r="G36" s="97" t="n"/>
    </row>
    <row r="37" ht="15.5" customHeight="1">
      <c r="A37" s="68" t="n"/>
      <c r="B37" s="19" t="n"/>
      <c r="C37" s="19" t="n"/>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f>SUM(B29:B38)</f>
        <v/>
      </c>
      <c r="C39" s="32">
        <f>SUM(C29:C38)</f>
        <v/>
      </c>
      <c r="D39" s="32">
        <f>SUM(B39:C39)</f>
        <v/>
      </c>
      <c r="E39" s="82">
        <f>SUM(E29:E38)</f>
        <v/>
      </c>
      <c r="F39" s="82">
        <f>SUM(F29:F38)</f>
        <v/>
      </c>
      <c r="G39" s="82">
        <f>SUM(E39:F39)</f>
        <v/>
      </c>
    </row>
    <row r="40" ht="15.5" customFormat="1" customHeight="1" s="8">
      <c r="A40" s="71" t="n"/>
      <c r="B40" s="18" t="n"/>
      <c r="C40" s="18" t="n"/>
      <c r="D40" s="94" t="n"/>
      <c r="E40" s="85" t="n"/>
      <c r="F40" s="85" t="n"/>
      <c r="G40" s="100" t="n"/>
    </row>
    <row r="41" ht="14.5" customFormat="1" customHeight="1" s="26">
      <c r="A41" s="70" t="inlineStr">
        <is>
          <t>Net Income Before Tax</t>
        </is>
      </c>
      <c r="B41" s="18">
        <f>B27-B39</f>
        <v/>
      </c>
      <c r="C41" s="18">
        <f>C27-C39</f>
        <v/>
      </c>
      <c r="D41" s="94">
        <f>D27-D39</f>
        <v/>
      </c>
      <c r="E41" s="85">
        <f>E27-E39</f>
        <v/>
      </c>
      <c r="F41" s="85">
        <f>F27-F39</f>
        <v/>
      </c>
      <c r="G41" s="100">
        <f>G27-G39</f>
        <v/>
      </c>
    </row>
    <row r="42" ht="14.5" customFormat="1" customHeight="1" s="26">
      <c r="A42" s="70" t="inlineStr">
        <is>
          <t>Income Tax Expense</t>
        </is>
      </c>
      <c r="B42" s="17" t="n"/>
      <c r="C42" s="17" t="n"/>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f>B41-B42</f>
        <v/>
      </c>
      <c r="C44" s="32">
        <f>C41-C42</f>
        <v/>
      </c>
      <c r="D44" s="32">
        <f>SUM(B44:C44)</f>
        <v/>
      </c>
      <c r="E44" s="82">
        <f>E41-E42</f>
        <v/>
      </c>
      <c r="F44" s="82">
        <f>F41-F42</f>
        <v/>
      </c>
      <c r="G44" s="82">
        <f>SUM(E44:F44)</f>
        <v/>
      </c>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Office Of Innovation</dc:creator>
  <dcterms:created xmlns:dcterms="http://purl.org/dc/terms/" xmlns:xsi="http://www.w3.org/2001/XMLSchema-instance" xsi:type="dcterms:W3CDTF">2017-03-08T15:16:50Z</dcterms:created>
  <dcterms:modified xmlns:dcterms="http://purl.org/dc/terms/" xmlns:xsi="http://www.w3.org/2001/XMLSchema-instance" xsi:type="dcterms:W3CDTF">2026-08-02T07:30:44Z</dcterms:modified>
  <cp:lastModifiedBy>Sophie Lee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0x010100902655A1DBCCFE47BBD0E6B70D5BB6C1</vt:lpwstr>
  </property>
  <property name="OfficeDivision" fmtid="{D5CDD505-2E9C-101B-9397-08002B2CF9AE}" pid="3">
    <vt:lpwstr xmlns:vt="http://schemas.openxmlformats.org/officeDocument/2006/docPropsVTypes">3;#Office of Global Innovation-240B|a38e29fd-ea29-4c98-a7c2-ed22641cac42</vt:lpwstr>
  </property>
  <property name="_dlc_DocIdItemGuid" fmtid="{D5CDD505-2E9C-101B-9397-08002B2CF9AE}" pid="4">
    <vt:lpwstr xmlns:vt="http://schemas.openxmlformats.org/officeDocument/2006/docPropsVTypes">bee52506-0fa5-46ed-9faa-e8bf93b5001c</vt:lpwstr>
  </property>
  <property name="Order" fmtid="{D5CDD505-2E9C-101B-9397-08002B2CF9AE}" pid="5">
    <vt:r8 xmlns:vt="http://schemas.openxmlformats.org/officeDocument/2006/docPropsVTypes">6733800</vt:r8>
  </property>
  <property name="ComplianceAssetId" fmtid="{D5CDD505-2E9C-101B-9397-08002B2CF9AE}" pid="6">
    <vt:lpwstr xmlns:vt="http://schemas.openxmlformats.org/officeDocument/2006/docPropsVTypes"/>
  </property>
  <property name="_ExtendedDescription" fmtid="{D5CDD505-2E9C-101B-9397-08002B2CF9AE}" pid="7">
    <vt:lpwstr xmlns:vt="http://schemas.openxmlformats.org/officeDocument/2006/docPropsVTypes"/>
  </property>
  <property name="TriggerFlowInfo" fmtid="{D5CDD505-2E9C-101B-9397-08002B2CF9AE}" pid="8">
    <vt:lpwstr xmlns:vt="http://schemas.openxmlformats.org/officeDocument/2006/docPropsVTypes"/>
  </property>
  <property name="SystemDTAC" fmtid="{D5CDD505-2E9C-101B-9397-08002B2CF9AE}" pid="9">
    <vt:lpwstr xmlns:vt="http://schemas.openxmlformats.org/officeDocument/2006/docPropsVTypes"/>
  </property>
  <property name="TaxKeyword" fmtid="{D5CDD505-2E9C-101B-9397-08002B2CF9AE}" pid="10">
    <vt:lpwstr xmlns:vt="http://schemas.openxmlformats.org/officeDocument/2006/docPropsVTypes"/>
  </property>
  <property name="Topic" fmtid="{D5CDD505-2E9C-101B-9397-08002B2CF9AE}" pid="11">
    <vt:lpwstr xmlns:vt="http://schemas.openxmlformats.org/officeDocument/2006/docPropsVTypes"/>
  </property>
  <property name="CriticalForLongTermRetention" fmtid="{D5CDD505-2E9C-101B-9397-08002B2CF9AE}" pid="12">
    <vt:lpwstr xmlns:vt="http://schemas.openxmlformats.org/officeDocument/2006/docPropsVTypes"/>
  </property>
  <property name="DocumentType" fmtid="{D5CDD505-2E9C-101B-9397-08002B2CF9AE}" pid="13">
    <vt:lpwstr xmlns:vt="http://schemas.openxmlformats.org/officeDocument/2006/docPropsVTypes"/>
  </property>
  <property name="GeographicScope" fmtid="{D5CDD505-2E9C-101B-9397-08002B2CF9AE}" pid="14">
    <vt:lpwstr xmlns:vt="http://schemas.openxmlformats.org/officeDocument/2006/docPropsVTypes"/>
  </property>
  <property name="MediaServiceImageTags" fmtid="{D5CDD505-2E9C-101B-9397-08002B2CF9AE}" pid="15">
    <vt:lpwstr xmlns:vt="http://schemas.openxmlformats.org/officeDocument/2006/docPropsVTypes"/>
  </property>
  <property name="xd_ProgID" fmtid="{D5CDD505-2E9C-101B-9397-08002B2CF9AE}" pid="16">
    <vt:lpwstr xmlns:vt="http://schemas.openxmlformats.org/officeDocument/2006/docPropsVTypes"/>
  </property>
  <property name="ContentLanguage" fmtid="{D5CDD505-2E9C-101B-9397-08002B2CF9AE}" pid="17">
    <vt:lpwstr xmlns:vt="http://schemas.openxmlformats.org/officeDocument/2006/docPropsVTypes">English</vt:lpwstr>
  </property>
  <property name="TemplateUrl" fmtid="{D5CDD505-2E9C-101B-9397-08002B2CF9AE}" pid="18">
    <vt:lpwstr xmlns:vt="http://schemas.openxmlformats.org/officeDocument/2006/docPropsVTypes"/>
  </property>
  <property name="xd_Signature" fmtid="{D5CDD505-2E9C-101B-9397-08002B2CF9AE}" pid="19">
    <vt:bool xmlns:vt="http://schemas.openxmlformats.org/officeDocument/2006/docPropsVTypes">0</vt:bool>
  </property>
  <property name="ga975397408f43e4b84ec8e5a598e523" fmtid="{D5CDD505-2E9C-101B-9397-08002B2CF9AE}" pid="20">
    <vt:lpwstr xmlns:vt="http://schemas.openxmlformats.org/officeDocument/2006/docPropsVTypes">Office of Global Innovation-240B|a38e29fd-ea29-4c98-a7c2-ed22641cac42</vt:lpwstr>
  </property>
</Properties>
</file>