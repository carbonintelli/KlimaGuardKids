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Tab 1 Project Design Budget" sheetId="1" state="visible" r:id="rId1"/>
    <sheet name="Tab 2  Company 1-YR Budget" sheetId="2" state="visible" r:id="rId2"/>
    <sheet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 fillId="6" borderId="0" pivotButton="0" quotePrefix="0" xfId="2"/>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3203125" defaultRowHeight="15.5"/>
  <cols>
    <col width="13.5" customWidth="1" style="1" min="1" max="1"/>
    <col width="81.08203125" customWidth="1" style="1" min="2" max="2"/>
    <col width="41.83203125" customWidth="1" style="1" min="3" max="3"/>
    <col width="41.5" customWidth="1" style="1" min="4" max="4"/>
    <col width="26.08203125" customWidth="1" style="1" min="5" max="5"/>
    <col width="8.83203125" customWidth="1" style="1" min="6" max="16384"/>
  </cols>
  <sheetData>
    <row r="1" ht="18.5" customFormat="1" customHeight="1" s="12">
      <c r="A1" s="116" t="inlineStr">
        <is>
          <t>TEMPLATE 7 Tab 1: PROJECT DESIGN BUDGET</t>
        </is>
      </c>
      <c r="D1" s="3" t="n"/>
    </row>
    <row r="2" ht="18.5" customFormat="1" customHeight="1" s="3">
      <c r="A2" s="76" t="inlineStr">
        <is>
          <t>Company Name:</t>
        </is>
      </c>
      <c r="B2" s="1" t="inlineStr">
        <is>
          <t>Sustainow Technologies Private Limited</t>
        </is>
      </c>
      <c r="E2" s="1" t="n"/>
    </row>
    <row r="3" ht="28.4" customFormat="1" customHeight="1" s="2">
      <c r="A3" s="25" t="inlineStr">
        <is>
          <t>TIMELINE</t>
        </is>
      </c>
      <c r="B3" s="25" t="inlineStr">
        <is>
          <t>TASKS</t>
        </is>
      </c>
      <c r="C3" s="135" t="inlineStr">
        <is>
          <t>BUDGET</t>
        </is>
      </c>
      <c r="D3" s="136" t="n"/>
      <c r="E3" s="1" t="n"/>
    </row>
    <row r="4" ht="166"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inlineStr">
        <is>
          <t>ETH</t>
        </is>
      </c>
    </row>
    <row r="6" ht="17.9" customFormat="1" customHeight="1" s="2">
      <c r="A6" s="138" t="inlineStr">
        <is>
          <t>Quarter 1 Total</t>
        </is>
      </c>
      <c r="B6" s="139" t="n"/>
      <c r="C6" s="51" t="n"/>
      <c r="D6" s="51" t="n"/>
    </row>
    <row r="7" ht="15.65" customHeight="1">
      <c r="A7" s="61" t="inlineStr">
        <is>
          <t>Milestone 1</t>
        </is>
      </c>
      <c r="B7" s="50" t="n"/>
      <c r="C7" s="105" t="n"/>
      <c r="D7" s="105" t="n"/>
    </row>
    <row r="8" ht="15.65" customHeight="1">
      <c r="A8" s="49" t="inlineStr">
        <is>
          <t>Activity 1</t>
        </is>
      </c>
      <c r="B8" s="50" t="inlineStr">
        <is>
          <t>Pilot site MoUs &amp; ethics-light protocol</t>
        </is>
      </c>
      <c r="C8" s="105" t="n">
        <v>2000</v>
      </c>
      <c r="D8" s="105" t="n"/>
    </row>
    <row r="9" ht="15.65" customHeight="1">
      <c r="A9" s="49" t="inlineStr">
        <is>
          <t>Activity 2</t>
        </is>
      </c>
      <c r="B9" s="50" t="inlineStr">
        <is>
          <t>Partner onboarding packs (schools/CHWs)</t>
        </is>
      </c>
      <c r="C9" s="105" t="n">
        <v>1500</v>
      </c>
      <c r="D9" s="105" t="n"/>
    </row>
    <row r="10" ht="15.65" customHeight="1">
      <c r="A10" s="49" t="n"/>
      <c r="B10" s="50" t="n"/>
      <c r="C10" s="105" t="n"/>
      <c r="D10" s="105" t="n"/>
    </row>
    <row r="11" ht="15.65" customHeight="1">
      <c r="A11" s="61" t="inlineStr">
        <is>
          <t>Milestone 2</t>
        </is>
      </c>
      <c r="B11" s="50" t="n"/>
      <c r="C11" s="105" t="n"/>
      <c r="D11" s="105" t="n"/>
    </row>
    <row r="12" ht="15.65" customHeight="1">
      <c r="A12" s="49" t="inlineStr">
        <is>
          <t>Activity 1</t>
        </is>
      </c>
      <c r="B12" s="50" t="inlineStr">
        <is>
          <t>Multilingual foundation (i18n)</t>
        </is>
      </c>
      <c r="C12" s="105" t="n">
        <v>2500</v>
      </c>
      <c r="D12" s="105" t="n"/>
    </row>
    <row r="13" ht="15.65" customHeight="1">
      <c r="A13" s="49" t="inlineStr">
        <is>
          <t>Activity 2</t>
        </is>
      </c>
      <c r="B13" s="50" t="inlineStr">
        <is>
          <t>String extraction, l10n &amp; accessibility pass</t>
        </is>
      </c>
      <c r="C13" s="105" t="n">
        <v>2000</v>
      </c>
      <c r="D13" s="105" t="n"/>
    </row>
    <row r="14" ht="15.65" customHeight="1">
      <c r="A14" s="49" t="n"/>
      <c r="B14" s="50" t="n"/>
      <c r="C14" s="105" t="n"/>
      <c r="D14" s="105" t="n"/>
    </row>
    <row r="15" ht="15.65" customHeight="1">
      <c r="A15" s="61" t="inlineStr">
        <is>
          <t>Milestone 3</t>
        </is>
      </c>
      <c r="B15" s="50" t="n"/>
      <c r="C15" s="105" t="n"/>
      <c r="D15" s="105" t="n"/>
    </row>
    <row r="16" ht="17.5" customHeight="1">
      <c r="A16" s="49" t="inlineStr">
        <is>
          <t>Activity 1</t>
        </is>
      </c>
      <c r="B16" s="50" t="inlineStr">
        <is>
          <t>Real-time investment KPI feed/dashboard</t>
        </is>
      </c>
      <c r="C16" s="105" t="n">
        <v>2000</v>
      </c>
      <c r="D16" s="105" t="n"/>
    </row>
    <row r="17" ht="17.9" customFormat="1" customHeight="1" s="2">
      <c r="A17" s="49" t="inlineStr">
        <is>
          <t>Activity 2</t>
        </is>
      </c>
      <c r="B17" s="50" t="inlineStr">
        <is>
          <t>Anonymised usage analytics (no child PII)</t>
        </is>
      </c>
      <c r="C17" s="105" t="n">
        <v>1000</v>
      </c>
      <c r="D17" s="105" t="n"/>
    </row>
    <row r="18" ht="17.9" customFormat="1" customHeight="1" s="2">
      <c r="A18" s="49" t="n"/>
      <c r="B18" s="50" t="n"/>
      <c r="C18" s="105" t="n"/>
      <c r="D18" s="105" t="n"/>
    </row>
    <row r="19" ht="15.65" customHeight="1">
      <c r="A19" s="61" t="inlineStr">
        <is>
          <t>Milestone 4</t>
        </is>
      </c>
      <c r="B19" s="50" t="n"/>
      <c r="C19" s="105" t="n"/>
      <c r="D19" s="105" t="n"/>
    </row>
    <row r="20" ht="15.65" customHeight="1">
      <c r="A20" s="49" t="inlineStr">
        <is>
          <t>Activity 1</t>
        </is>
      </c>
      <c r="B20" s="50" t="inlineStr">
        <is>
          <t>Registry &amp; trusted-sources expansion</t>
        </is>
      </c>
      <c r="C20" s="105" t="n">
        <v>500</v>
      </c>
      <c r="D20" s="105" t="n"/>
    </row>
    <row r="21" ht="15.65" customHeight="1">
      <c r="A21" s="64" t="inlineStr">
        <is>
          <t>Activity 2</t>
        </is>
      </c>
      <c r="B21" s="50" t="inlineStr">
        <is>
          <t>India CHIS expert validation</t>
        </is>
      </c>
      <c r="C21" s="105" t="n">
        <v>500</v>
      </c>
      <c r="D21" s="105" t="n"/>
    </row>
    <row r="22" ht="15.65" customHeight="1">
      <c r="A22" s="64" t="n"/>
      <c r="B22" s="50" t="n"/>
      <c r="C22" s="105" t="n"/>
      <c r="D22" s="105" t="n"/>
    </row>
    <row r="23" ht="15.65" customHeight="1">
      <c r="A23" s="140" t="inlineStr">
        <is>
          <t>Quarter 2 total</t>
        </is>
      </c>
      <c r="B23" s="141" t="n"/>
      <c r="C23" s="51" t="n"/>
      <c r="D23" s="51" t="n"/>
    </row>
    <row r="24" ht="15.65" customHeight="1">
      <c r="A24" s="61" t="inlineStr">
        <is>
          <t>Milestone 1</t>
        </is>
      </c>
      <c r="B24" s="50" t="n"/>
      <c r="C24" s="105" t="n"/>
      <c r="D24" s="105" t="n"/>
    </row>
    <row r="25" ht="15.65" customHeight="1">
      <c r="A25" s="49" t="inlineStr">
        <is>
          <t>Activity 1</t>
        </is>
      </c>
      <c r="B25" s="50" t="inlineStr">
        <is>
          <t>PWA offline shell</t>
        </is>
      </c>
      <c r="C25" s="105" t="n">
        <v>4500</v>
      </c>
      <c r="D25" s="105" t="n"/>
    </row>
    <row r="26" ht="20.15" customHeight="1">
      <c r="A26" s="49" t="inlineStr">
        <is>
          <t>Activity 2</t>
        </is>
      </c>
      <c r="B26" s="50" t="inlineStr">
        <is>
          <t>Service worker &amp; last-good climate cache</t>
        </is>
      </c>
      <c r="C26" s="105" t="n">
        <v>2000</v>
      </c>
      <c r="D26" s="105" t="n"/>
    </row>
    <row r="27" ht="17.9" customHeight="1">
      <c r="A27" s="49" t="n"/>
      <c r="B27" s="50" t="n"/>
      <c r="C27" s="105" t="n"/>
      <c r="D27" s="105" t="n"/>
    </row>
    <row r="28" ht="17.9" customHeight="1">
      <c r="A28" s="61" t="inlineStr">
        <is>
          <t>Milestone 2</t>
        </is>
      </c>
      <c r="B28" s="50" t="n"/>
      <c r="C28" s="105" t="n"/>
      <c r="D28" s="105" t="n"/>
    </row>
    <row r="29">
      <c r="A29" s="49" t="inlineStr">
        <is>
          <t>Activity 1</t>
        </is>
      </c>
      <c r="B29" s="50" t="inlineStr">
        <is>
          <t>National met/AQ adapter interface</t>
        </is>
      </c>
      <c r="C29" s="105" t="n">
        <v>2000</v>
      </c>
      <c r="D29" s="105" t="n"/>
    </row>
    <row r="30">
      <c r="A30" s="49" t="inlineStr">
        <is>
          <t>Activity 2</t>
        </is>
      </c>
      <c r="B30" s="50" t="inlineStr">
        <is>
          <t>IMD/CPCB reference integration design</t>
        </is>
      </c>
      <c r="C30" s="105" t="n">
        <v>1000</v>
      </c>
      <c r="D30" s="105" t="n"/>
    </row>
    <row r="31">
      <c r="A31" s="49" t="n"/>
      <c r="B31" s="50" t="n"/>
      <c r="C31" s="105" t="n"/>
      <c r="D31" s="105" t="n"/>
    </row>
    <row r="32">
      <c r="A32" s="61" t="inlineStr">
        <is>
          <t>Milestone 3</t>
        </is>
      </c>
      <c r="B32" s="50" t="n"/>
      <c r="C32" s="105" t="n"/>
      <c r="D32" s="105" t="n"/>
    </row>
    <row r="33">
      <c r="A33" s="49" t="inlineStr">
        <is>
          <t>Activity 1</t>
        </is>
      </c>
      <c r="B33" s="62" t="inlineStr">
        <is>
          <t>School pilot wave 1</t>
        </is>
      </c>
      <c r="C33" s="105" t="n">
        <v>6000</v>
      </c>
      <c r="D33" s="105" t="n"/>
    </row>
    <row r="34">
      <c r="A34" s="49" t="inlineStr">
        <is>
          <t>Activity 2</t>
        </is>
      </c>
      <c r="B34" s="62" t="inlineStr">
        <is>
          <t>CHW briefing workshops</t>
        </is>
      </c>
      <c r="C34" s="105" t="n">
        <v>3000</v>
      </c>
      <c r="D34" s="105" t="n"/>
    </row>
    <row r="35">
      <c r="A35" s="49" t="n"/>
      <c r="B35" s="62" t="n"/>
      <c r="C35" s="105" t="n"/>
      <c r="D35" s="105" t="n"/>
    </row>
    <row r="36">
      <c r="A36" s="61" t="inlineStr">
        <is>
          <t>Milestone 4</t>
        </is>
      </c>
      <c r="B36" s="62" t="n"/>
      <c r="C36" s="105" t="n"/>
      <c r="D36" s="105" t="n"/>
    </row>
    <row r="37">
      <c r="A37" s="49" t="inlineStr">
        <is>
          <t>Activity 1</t>
        </is>
      </c>
      <c r="B37" s="62" t="inlineStr">
        <is>
          <t>DHIS2 interoperability spike (lean)</t>
        </is>
      </c>
      <c r="C37" s="105" t="n">
        <v>500</v>
      </c>
      <c r="D37" s="105" t="n"/>
    </row>
    <row r="38">
      <c r="A38" s="64" t="inlineStr">
        <is>
          <t>Activity 2</t>
        </is>
      </c>
      <c r="B38" s="62" t="inlineStr">
        <is>
          <t>Aggregate indicator mapping</t>
        </is>
      </c>
      <c r="C38" s="105" t="n">
        <v>1000</v>
      </c>
      <c r="D38" s="105" t="n"/>
    </row>
    <row r="39">
      <c r="A39" s="64" t="n"/>
      <c r="B39" s="62" t="n"/>
      <c r="C39" s="105" t="n"/>
      <c r="D39" s="105" t="n"/>
    </row>
    <row r="40">
      <c r="A40" s="140" t="inlineStr">
        <is>
          <t>Quarter 3 total</t>
        </is>
      </c>
      <c r="B40" s="141" t="n"/>
      <c r="C40" s="51" t="n"/>
      <c r="D40" s="51" t="n"/>
    </row>
    <row r="41" ht="17.9" customHeight="1">
      <c r="A41" s="61" t="inlineStr">
        <is>
          <t>Milestone 1</t>
        </is>
      </c>
      <c r="B41" s="50" t="n"/>
      <c r="C41" s="105" t="n"/>
      <c r="D41" s="105" t="n"/>
    </row>
    <row r="42" ht="17.9" customHeight="1">
      <c r="A42" s="49" t="inlineStr">
        <is>
          <t>Activity 1</t>
        </is>
      </c>
      <c r="B42" s="50" t="inlineStr">
        <is>
          <t>Midline evaluation</t>
        </is>
      </c>
      <c r="C42" s="105" t="n">
        <v>3000</v>
      </c>
      <c r="D42" s="105" t="n"/>
    </row>
    <row r="43">
      <c r="A43" s="49" t="inlineStr">
        <is>
          <t>Activity 2</t>
        </is>
      </c>
      <c r="B43" s="50" t="inlineStr">
        <is>
          <t>Comparative site analysis</t>
        </is>
      </c>
      <c r="C43" s="105" t="n">
        <v>1500</v>
      </c>
      <c r="D43" s="105" t="n"/>
    </row>
    <row r="44">
      <c r="A44" s="49" t="n"/>
      <c r="B44" s="50" t="n"/>
      <c r="C44" s="105" t="n"/>
      <c r="D44" s="105" t="n"/>
    </row>
    <row r="45">
      <c r="A45" s="61" t="inlineStr">
        <is>
          <t>Milestone 2</t>
        </is>
      </c>
      <c r="B45" s="50" t="n"/>
      <c r="C45" s="105" t="n"/>
      <c r="D45" s="105" t="n"/>
    </row>
    <row r="46">
      <c r="A46" s="49" t="inlineStr">
        <is>
          <t>Activity 1</t>
        </is>
      </c>
      <c r="B46" s="50" t="inlineStr">
        <is>
          <t>Language pack completion (3 languages)</t>
        </is>
      </c>
      <c r="C46" s="105" t="n">
        <v>3500</v>
      </c>
      <c r="D46" s="105" t="n"/>
    </row>
    <row r="47">
      <c r="A47" s="49" t="inlineStr">
        <is>
          <t>Activity 2</t>
        </is>
      </c>
      <c r="B47" s="50" t="inlineStr">
        <is>
          <t>Community OSS contributor sprint</t>
        </is>
      </c>
      <c r="C47" s="105" t="n">
        <v>1000</v>
      </c>
      <c r="D47" s="105" t="n"/>
    </row>
    <row r="48">
      <c r="A48" s="49" t="n"/>
      <c r="B48" s="50" t="n"/>
      <c r="C48" s="105" t="n"/>
      <c r="D48" s="105" t="n"/>
    </row>
    <row r="49">
      <c r="A49" s="61" t="inlineStr">
        <is>
          <t>Milestone 3</t>
        </is>
      </c>
      <c r="B49" s="50" t="n"/>
      <c r="C49" s="105" t="n"/>
      <c r="D49" s="105" t="n"/>
    </row>
    <row r="50">
      <c r="A50" s="49" t="inlineStr">
        <is>
          <t>Activity 1</t>
        </is>
      </c>
      <c r="B50" s="50" t="inlineStr">
        <is>
          <t>Safeguarding &amp; privacy review</t>
        </is>
      </c>
      <c r="C50" s="105" t="n">
        <v>2500</v>
      </c>
      <c r="D50" s="105" t="n"/>
    </row>
    <row r="51">
      <c r="A51" s="49" t="inlineStr">
        <is>
          <t>Activity 2</t>
        </is>
      </c>
      <c r="B51" s="50" t="inlineStr">
        <is>
          <t>Child-data policy pack</t>
        </is>
      </c>
      <c r="C51" s="105" t="n">
        <v>1000</v>
      </c>
      <c r="D51" s="105" t="n"/>
    </row>
    <row r="52">
      <c r="A52" s="49" t="n"/>
      <c r="B52" s="50" t="n"/>
      <c r="C52" s="105" t="n"/>
      <c r="D52" s="105" t="n"/>
    </row>
    <row r="53">
      <c r="A53" s="61" t="inlineStr">
        <is>
          <t>Milestone 4</t>
        </is>
      </c>
      <c r="B53" s="50" t="n"/>
      <c r="C53" s="105" t="n"/>
      <c r="D53" s="105" t="n"/>
    </row>
    <row r="54">
      <c r="A54" s="49" t="inlineStr">
        <is>
          <t>Activity 1</t>
        </is>
      </c>
      <c r="B54" s="50" t="inlineStr">
        <is>
          <t>Partner API integration pilots</t>
        </is>
      </c>
      <c r="C54" s="105" t="n">
        <v>2000</v>
      </c>
      <c r="D54" s="105" t="n"/>
    </row>
    <row r="55">
      <c r="A55" s="64" t="inlineStr">
        <is>
          <t>Activity 2</t>
        </is>
      </c>
      <c r="B55" s="50" t="inlineStr">
        <is>
          <t>Pilot operations scale-up</t>
        </is>
      </c>
      <c r="C55" s="105" t="n">
        <v>1500</v>
      </c>
      <c r="D55" s="105" t="n"/>
    </row>
    <row r="56" ht="20.15" customFormat="1" customHeight="1" s="4">
      <c r="A56" s="65" t="n"/>
      <c r="B56" s="50" t="n"/>
      <c r="C56" s="105" t="n"/>
      <c r="D56" s="105" t="n"/>
    </row>
    <row r="57">
      <c r="A57" s="140" t="inlineStr">
        <is>
          <t>Quarter 4 total</t>
        </is>
      </c>
      <c r="B57" s="141" t="n"/>
      <c r="C57" s="51" t="n"/>
      <c r="D57" s="51" t="n"/>
    </row>
    <row r="58">
      <c r="A58" s="61" t="inlineStr">
        <is>
          <t>Milestone 1</t>
        </is>
      </c>
      <c r="B58" s="50" t="n"/>
      <c r="C58" s="105" t="n"/>
      <c r="D58" s="105" t="n"/>
    </row>
    <row r="59">
      <c r="A59" s="49" t="inlineStr">
        <is>
          <t>Activity 1</t>
        </is>
      </c>
      <c r="B59" s="50" t="inlineStr">
        <is>
          <t>Endline evaluation &amp; public brief</t>
        </is>
      </c>
      <c r="C59" s="105" t="n">
        <v>3000</v>
      </c>
      <c r="D59" s="105" t="n"/>
    </row>
    <row r="60">
      <c r="A60" s="49" t="inlineStr">
        <is>
          <t>Activity 2</t>
        </is>
      </c>
      <c r="B60" s="50" t="inlineStr">
        <is>
          <t>UNICEF learning package / case study</t>
        </is>
      </c>
      <c r="C60" s="105" t="n">
        <v>1500</v>
      </c>
      <c r="D60" s="105" t="n"/>
    </row>
    <row r="61">
      <c r="A61" s="49" t="n"/>
      <c r="B61" s="50" t="n"/>
      <c r="C61" s="105" t="n"/>
      <c r="D61" s="105" t="n"/>
    </row>
    <row r="62">
      <c r="A62" s="61" t="inlineStr">
        <is>
          <t>Milestone 2</t>
        </is>
      </c>
      <c r="B62" s="50" t="n"/>
      <c r="C62" s="105" t="n"/>
      <c r="D62" s="105" t="n"/>
    </row>
    <row r="63">
      <c r="A63" s="49" t="inlineStr">
        <is>
          <t>Activity 1</t>
        </is>
      </c>
      <c r="B63" s="50" t="inlineStr">
        <is>
          <t>Scale-ready OSS release v1.0</t>
        </is>
      </c>
      <c r="C63" s="105" t="n">
        <v>3000</v>
      </c>
      <c r="D63" s="105" t="n"/>
    </row>
    <row r="64">
      <c r="A64" s="49" t="inlineStr">
        <is>
          <t>Activity 2</t>
        </is>
      </c>
      <c r="B64" s="50" t="inlineStr">
        <is>
          <t>Gov-cloud / in-country deployment playbook</t>
        </is>
      </c>
      <c r="C64" s="105" t="n">
        <v>1500</v>
      </c>
      <c r="D64" s="105" t="n"/>
    </row>
    <row r="65">
      <c r="A65" s="49" t="n"/>
      <c r="B65" s="50" t="n"/>
      <c r="C65" s="105" t="n"/>
      <c r="D65" s="105" t="n"/>
    </row>
    <row r="66">
      <c r="A66" s="61" t="inlineStr">
        <is>
          <t>Milestone 3</t>
        </is>
      </c>
      <c r="B66" s="52" t="n"/>
      <c r="C66" s="105" t="n"/>
      <c r="D66" s="105" t="n"/>
    </row>
    <row r="67">
      <c r="A67" s="49" t="inlineStr">
        <is>
          <t>Activity 1</t>
        </is>
      </c>
      <c r="B67" s="63" t="inlineStr">
        <is>
          <t>Growth Funding / LTAS readiness</t>
        </is>
      </c>
      <c r="C67" s="106" t="n">
        <v>500</v>
      </c>
      <c r="D67" s="106" t="n"/>
    </row>
    <row r="68">
      <c r="A68" s="49" t="inlineStr">
        <is>
          <t>Activity 2</t>
        </is>
      </c>
      <c r="B68" s="63" t="inlineStr">
        <is>
          <t>Business model validation update</t>
        </is>
      </c>
      <c r="C68" s="106" t="n">
        <v>500</v>
      </c>
      <c r="D68" s="106" t="n"/>
    </row>
    <row r="69">
      <c r="A69" s="49" t="n"/>
      <c r="B69" s="63" t="n"/>
      <c r="C69" s="107" t="n"/>
      <c r="D69" s="107" t="n"/>
    </row>
    <row r="70">
      <c r="A70" s="61" t="inlineStr">
        <is>
          <t>Milestone 4</t>
        </is>
      </c>
      <c r="B70" s="63" t="n"/>
      <c r="C70" s="106" t="n"/>
      <c r="D70" s="106" t="n"/>
    </row>
    <row r="71">
      <c r="A71" s="49" t="inlineStr">
        <is>
          <t>Activity 1</t>
        </is>
      </c>
      <c r="B71" s="63" t="inlineStr">
        <is>
          <t>Knowledge transfer &amp; handoff</t>
        </is>
      </c>
      <c r="C71" s="106" t="n">
        <v>1000</v>
      </c>
      <c r="D71" s="106" t="n"/>
    </row>
    <row r="72">
      <c r="A72" s="64" t="inlineStr">
        <is>
          <t>Activity 2</t>
        </is>
      </c>
      <c r="B72" s="63" t="inlineStr">
        <is>
          <t>Final UX/a11y polish + public KPI finalize</t>
        </is>
      </c>
      <c r="C72" s="106" t="n">
        <v>1000</v>
      </c>
      <c r="D72" s="106" t="n"/>
    </row>
    <row r="73" ht="18.5" customHeight="1">
      <c r="A73" s="4" t="n"/>
      <c r="B73" s="53" t="n"/>
      <c r="C73" s="54" t="n"/>
      <c r="D73" s="54" t="n"/>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58203125" customWidth="1" style="5" min="2" max="2"/>
    <col width="18" customWidth="1" style="5" min="3" max="3"/>
    <col width="19" customWidth="1" style="5" min="4" max="4"/>
    <col width="14" customWidth="1" style="5" min="5" max="5"/>
    <col width="16" customWidth="1" style="5" min="6" max="6"/>
    <col width="18" customWidth="1" style="5" min="7" max="7"/>
    <col width="14.33203125" customWidth="1" style="5" min="8" max="8"/>
    <col width="16.5" customWidth="1" style="5" min="9" max="9"/>
    <col width="16" customWidth="1" style="5" min="10" max="10"/>
    <col width="13.5" customWidth="1" style="5" min="11" max="16384"/>
  </cols>
  <sheetData>
    <row r="1" ht="43" customFormat="1" customHeight="1" s="27">
      <c r="A1" s="120" t="inlineStr">
        <is>
          <t>TEMPLATE 7, Tab 2: COMPANY 1-YR BUDGET</t>
        </is>
      </c>
      <c r="D1" s="126"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5" customHeight="1">
      <c r="A2" s="121" t="inlineStr">
        <is>
          <t>Budget Period: September 2026 to August 2027</t>
        </is>
      </c>
      <c r="B2" s="142" t="n"/>
      <c r="C2" s="142" t="n"/>
      <c r="D2" s="6" t="n"/>
    </row>
    <row r="3" ht="17.15" customHeight="1">
      <c r="A3" s="79" t="inlineStr">
        <is>
          <t>SUSTAINOW TECHNOLOGIES PRIVATE LIMITED</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5" customHeight="1">
      <c r="A5" s="33" t="inlineStr">
        <is>
          <t>Expected Income</t>
        </is>
      </c>
      <c r="B5" s="17" t="n"/>
      <c r="C5" s="17" t="n"/>
      <c r="D5" s="89" t="n"/>
      <c r="E5" s="17" t="n"/>
      <c r="F5" s="17" t="n"/>
      <c r="G5" s="89" t="n"/>
    </row>
    <row r="6" ht="31"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5" customHeight="1">
      <c r="A7" s="67" t="inlineStr">
        <is>
          <t>Pilot / implementation support revenue</t>
        </is>
      </c>
      <c r="B7" s="19" t="n">
        <v>3000</v>
      </c>
      <c r="C7" s="19" t="n">
        <v>5000</v>
      </c>
      <c r="D7" s="91" t="n"/>
      <c r="E7" s="81" t="n"/>
      <c r="F7" s="81" t="n"/>
      <c r="G7" s="97" t="n"/>
    </row>
    <row r="8" ht="15.5" customHeight="1">
      <c r="A8" s="67" t="inlineStr">
        <is>
          <t>CSR / programme partnership fees</t>
        </is>
      </c>
      <c r="B8" s="19" t="n">
        <v>2000</v>
      </c>
      <c r="C8" s="19" t="n">
        <v>4000</v>
      </c>
      <c r="D8" s="91" t="n"/>
      <c r="E8" s="81" t="n"/>
      <c r="F8" s="81" t="n"/>
      <c r="G8" s="97" t="n"/>
    </row>
    <row r="9" ht="15.5" customHeight="1">
      <c r="A9" s="67" t="n"/>
      <c r="B9" s="19" t="n"/>
      <c r="C9" s="19" t="n"/>
      <c r="D9" s="91" t="n"/>
      <c r="E9" s="81" t="n"/>
      <c r="F9" s="81" t="n"/>
      <c r="G9" s="97" t="n"/>
    </row>
    <row r="10" ht="15.5" customHeight="1">
      <c r="A10" s="67" t="n"/>
      <c r="B10" s="19" t="n"/>
      <c r="C10" s="19" t="n"/>
      <c r="D10" s="91" t="n"/>
      <c r="E10" s="81" t="n"/>
      <c r="F10" s="81" t="n"/>
      <c r="G10" s="97" t="n"/>
    </row>
    <row r="11" ht="15.5" customHeight="1">
      <c r="A11" s="67" t="n"/>
      <c r="B11" s="19" t="n"/>
      <c r="C11" s="19" t="n"/>
      <c r="D11" s="91" t="n"/>
      <c r="E11" s="81" t="n"/>
      <c r="F11" s="81" t="n"/>
      <c r="G11" s="97" t="n"/>
    </row>
    <row r="12" ht="15.5" customHeight="1">
      <c r="A12" s="67" t="n"/>
      <c r="B12" s="19" t="n"/>
      <c r="C12" s="19" t="n"/>
      <c r="D12" s="91" t="n"/>
      <c r="E12" s="81" t="n"/>
      <c r="F12" s="81" t="n"/>
      <c r="G12" s="97" t="n"/>
    </row>
    <row r="13" ht="15.5" customHeight="1">
      <c r="A13" s="67" t="n"/>
      <c r="B13" s="19" t="n"/>
      <c r="C13" s="19" t="n"/>
      <c r="D13" s="91" t="n"/>
      <c r="E13" s="81" t="n"/>
      <c r="F13" s="81" t="n"/>
      <c r="G13" s="97" t="n"/>
    </row>
    <row r="14" ht="15.5" customHeight="1">
      <c r="A14" s="68" t="n"/>
      <c r="B14" s="19" t="n"/>
      <c r="C14" s="19" t="n"/>
      <c r="D14" s="91" t="n"/>
      <c r="E14" s="81" t="n"/>
      <c r="F14" s="81" t="n"/>
      <c r="G14" s="97" t="n"/>
    </row>
    <row r="15" ht="15.5" customHeight="1">
      <c r="A15" s="68" t="n"/>
      <c r="B15" s="19" t="n"/>
      <c r="C15" s="19" t="n"/>
      <c r="D15" s="91" t="n"/>
      <c r="E15" s="81" t="n"/>
      <c r="F15" s="81" t="n"/>
      <c r="G15" s="97" t="n"/>
    </row>
    <row r="16" ht="31" customFormat="1" customHeight="1" s="27">
      <c r="A16" s="30" t="inlineStr">
        <is>
          <t>Non-Operating Income [List detailed budget items in rows below (see example sheet for suggestions).</t>
        </is>
      </c>
      <c r="B16" s="31" t="n"/>
      <c r="C16" s="31" t="n"/>
      <c r="D16" s="90">
        <f>SUM(B16:C16)</f>
        <v/>
      </c>
      <c r="E16" s="80" t="n"/>
      <c r="F16" s="80" t="n"/>
      <c r="G16" s="96" t="n"/>
    </row>
    <row r="17" ht="15.5" customHeight="1">
      <c r="A17" s="67" t="inlineStr">
        <is>
          <t>UNICEF Venture Fund seed (equity-free)</t>
        </is>
      </c>
      <c r="B17" s="19" t="n">
        <v>30000</v>
      </c>
      <c r="C17" s="19" t="n">
        <v>30000</v>
      </c>
      <c r="D17" s="91" t="n"/>
      <c r="E17" s="81" t="n"/>
      <c r="F17" s="81" t="n"/>
      <c r="G17" s="97" t="n"/>
    </row>
    <row r="18" ht="15.5" customHeight="1">
      <c r="A18" s="67" t="inlineStr">
        <is>
          <t>Founder capital contribution</t>
        </is>
      </c>
      <c r="B18" s="19" t="n">
        <v>4000</v>
      </c>
      <c r="C18" s="19" t="n">
        <v>4000</v>
      </c>
      <c r="D18" s="91" t="n"/>
      <c r="E18" s="81" t="n"/>
      <c r="F18" s="81" t="n"/>
      <c r="G18" s="97" t="n"/>
    </row>
    <row r="19" ht="15.5" customHeight="1">
      <c r="A19" s="67" t="n"/>
      <c r="B19" s="19" t="n"/>
      <c r="C19" s="19" t="n"/>
      <c r="D19" s="91" t="n"/>
      <c r="E19" s="81" t="n"/>
      <c r="F19" s="81" t="n"/>
      <c r="G19" s="97" t="n"/>
    </row>
    <row r="20" ht="15.5" customHeight="1">
      <c r="A20" s="67" t="n"/>
      <c r="B20" s="19" t="n"/>
      <c r="C20" s="19" t="n"/>
      <c r="D20" s="91" t="n"/>
      <c r="E20" s="81" t="n"/>
      <c r="F20" s="81" t="n"/>
      <c r="G20" s="97" t="n"/>
    </row>
    <row r="21" ht="15.5" customHeight="1">
      <c r="A21" s="67" t="n"/>
      <c r="B21" s="19" t="n"/>
      <c r="C21" s="19" t="n"/>
      <c r="D21" s="91" t="n"/>
      <c r="E21" s="81" t="n"/>
      <c r="F21" s="81" t="n"/>
      <c r="G21" s="97" t="n"/>
    </row>
    <row r="22" ht="15.5" customHeight="1">
      <c r="A22" s="67" t="n"/>
      <c r="B22" s="19" t="n"/>
      <c r="C22" s="19" t="n"/>
      <c r="D22" s="91" t="n"/>
      <c r="E22" s="81" t="n"/>
      <c r="F22" s="81" t="n"/>
      <c r="G22" s="97" t="n"/>
    </row>
    <row r="23" ht="15.5" customHeight="1">
      <c r="A23" s="68" t="n"/>
      <c r="B23" s="19" t="n"/>
      <c r="C23" s="19" t="n"/>
      <c r="D23" s="91" t="n"/>
      <c r="E23" s="81" t="n"/>
      <c r="F23" s="81" t="n"/>
      <c r="G23" s="97" t="n"/>
    </row>
    <row r="24" ht="15.5" customHeight="1">
      <c r="A24" s="68" t="n"/>
      <c r="B24" s="19" t="n"/>
      <c r="C24" s="19" t="n"/>
      <c r="D24" s="91" t="n"/>
      <c r="E24" s="81" t="n"/>
      <c r="F24" s="81" t="n"/>
      <c r="G24" s="97" t="n"/>
    </row>
    <row r="25" ht="15.5" customHeight="1">
      <c r="A25" s="68" t="n"/>
      <c r="B25" s="19" t="n"/>
      <c r="C25" s="19" t="n"/>
      <c r="D25" s="91" t="n"/>
      <c r="E25" s="81" t="n"/>
      <c r="F25" s="81" t="n"/>
      <c r="G25" s="97" t="n"/>
    </row>
    <row r="26" ht="15.5" customHeight="1">
      <c r="A26" s="68" t="n"/>
      <c r="B26" s="19" t="n"/>
      <c r="C26" s="19" t="n"/>
      <c r="D26" s="91" t="n"/>
      <c r="E26" s="81" t="n"/>
      <c r="F26" s="81" t="n"/>
      <c r="G26" s="97" t="n"/>
    </row>
    <row r="27" ht="15.5" customFormat="1" customHeight="1" s="27">
      <c r="A27" s="69" t="inlineStr">
        <is>
          <t>TOTAL INCOME</t>
        </is>
      </c>
      <c r="B27" s="32" t="n"/>
      <c r="C27" s="32" t="n"/>
      <c r="D27" s="32">
        <f>SUM(B27:C27)</f>
        <v/>
      </c>
      <c r="E27" s="82" t="n"/>
      <c r="F27" s="82" t="n"/>
      <c r="G27" s="82" t="n"/>
    </row>
    <row r="28" ht="15.5" customFormat="1" customHeight="1" s="8">
      <c r="A28" s="70" t="n"/>
      <c r="B28" s="20" t="n"/>
      <c r="C28" s="20" t="n"/>
      <c r="D28" s="92" t="n"/>
      <c r="E28" s="83" t="n"/>
      <c r="F28" s="83" t="n"/>
      <c r="G28" s="98" t="n"/>
    </row>
    <row r="29" ht="31" customFormat="1" customHeight="1" s="27">
      <c r="A29" s="33" t="inlineStr">
        <is>
          <t>Salaries &amp; director stipends (KlimaGuard Kids)</t>
        </is>
      </c>
      <c r="B29" s="28" t="n">
        <v>11000</v>
      </c>
      <c r="C29" s="28" t="n">
        <v>11000</v>
      </c>
      <c r="D29" s="93" t="n"/>
      <c r="E29" s="84" t="n"/>
      <c r="F29" s="84" t="n"/>
      <c r="G29" s="99" t="n"/>
    </row>
    <row r="30" ht="15.5" customHeight="1">
      <c r="A30" s="67" t="inlineStr">
        <is>
          <t>Contractors (engineering, field facilitation, M&amp;E)</t>
        </is>
      </c>
      <c r="B30" s="19" t="n">
        <v>7000</v>
      </c>
      <c r="C30" s="19" t="n">
        <v>8000</v>
      </c>
      <c r="D30" s="91" t="n"/>
      <c r="E30" s="81" t="n"/>
      <c r="F30" s="81" t="n"/>
      <c r="G30" s="97" t="n"/>
    </row>
    <row r="31" ht="15.5" customHeight="1">
      <c r="A31" s="67" t="inlineStr">
        <is>
          <t>Cloud hosting, tooling &amp; CI</t>
        </is>
      </c>
      <c r="B31" s="19" t="n">
        <v>1000</v>
      </c>
      <c r="C31" s="19" t="n">
        <v>1000</v>
      </c>
      <c r="D31" s="91" t="n"/>
      <c r="E31" s="81" t="n"/>
      <c r="F31" s="81" t="n"/>
      <c r="G31" s="97" t="n"/>
    </row>
    <row r="32" ht="15.5" customHeight="1">
      <c r="A32" s="67" t="inlineStr">
        <is>
          <t>Pilot travel &amp; CHW/school workshops</t>
        </is>
      </c>
      <c r="B32" s="19" t="n">
        <v>3500</v>
      </c>
      <c r="C32" s="19" t="n">
        <v>4500</v>
      </c>
      <c r="D32" s="91" t="n"/>
      <c r="E32" s="81" t="n"/>
      <c r="F32" s="81" t="n"/>
      <c r="G32" s="97" t="n"/>
    </row>
    <row r="33" ht="15.5" customHeight="1">
      <c r="A33" s="67" t="inlineStr">
        <is>
          <t>Product hardening (PWA, i18n, content, a11y)</t>
        </is>
      </c>
      <c r="B33" s="19" t="n">
        <v>5000</v>
      </c>
      <c r="C33" s="19" t="n">
        <v>5000</v>
      </c>
      <c r="D33" s="91" t="n"/>
      <c r="E33" s="81" t="n"/>
      <c r="F33" s="81" t="n"/>
      <c r="G33" s="97" t="n"/>
    </row>
    <row r="34" ht="15.5" customHeight="1">
      <c r="A34" s="67" t="inlineStr">
        <is>
          <t>General &amp; administration</t>
        </is>
      </c>
      <c r="B34" s="19" t="n">
        <v>1500</v>
      </c>
      <c r="C34" s="19" t="n">
        <v>1500</v>
      </c>
      <c r="D34" s="91" t="n"/>
      <c r="E34" s="81" t="n"/>
      <c r="F34" s="81" t="n"/>
      <c r="G34" s="97" t="n"/>
    </row>
    <row r="35" ht="15.5" customHeight="1">
      <c r="A35" s="67" t="inlineStr">
        <is>
          <t>Marketing &amp; open-source community</t>
        </is>
      </c>
      <c r="B35" s="19" t="n">
        <v>1000</v>
      </c>
      <c r="C35" s="19" t="n">
        <v>1500</v>
      </c>
      <c r="D35" s="91" t="n"/>
      <c r="E35" s="81" t="n"/>
      <c r="F35" s="81" t="n"/>
      <c r="G35" s="97" t="n"/>
    </row>
    <row r="36" ht="15.5" customHeight="1">
      <c r="A36" s="68" t="inlineStr">
        <is>
          <t>Legal, safeguarding &amp; privacy compliance</t>
        </is>
      </c>
      <c r="B36" s="19" t="n">
        <v>1500</v>
      </c>
      <c r="C36" s="19" t="n">
        <v>1500</v>
      </c>
      <c r="D36" s="91" t="n"/>
      <c r="E36" s="81" t="n"/>
      <c r="F36" s="81" t="n"/>
      <c r="G36" s="97" t="n"/>
    </row>
    <row r="37" ht="15.5" customHeight="1">
      <c r="A37" s="68" t="inlineStr">
        <is>
          <t>Contingency</t>
        </is>
      </c>
      <c r="B37" s="19" t="n">
        <v>1000</v>
      </c>
      <c r="C37" s="19" t="n">
        <v>500</v>
      </c>
      <c r="D37" s="91" t="n"/>
      <c r="E37" s="81" t="n"/>
      <c r="F37" s="81" t="n"/>
      <c r="G37" s="97" t="n"/>
    </row>
    <row r="38" ht="15.5" customHeight="1">
      <c r="A38" s="68" t="n"/>
      <c r="B38" s="19" t="n"/>
      <c r="C38" s="19" t="n"/>
      <c r="D38" s="91" t="n"/>
      <c r="E38" s="81" t="n"/>
      <c r="F38" s="81" t="n"/>
      <c r="G38" s="97" t="n"/>
    </row>
    <row r="39" ht="15.5" customFormat="1" customHeight="1" s="27">
      <c r="A39" s="69" t="inlineStr">
        <is>
          <t>TOTAL EXPENSE</t>
        </is>
      </c>
      <c r="B39" s="32" t="n"/>
      <c r="C39" s="32" t="n"/>
      <c r="D39" s="32">
        <f>SUM(B39:C39)</f>
        <v/>
      </c>
      <c r="E39" s="82" t="n"/>
      <c r="F39" s="82" t="n"/>
      <c r="G39" s="82" t="n"/>
    </row>
    <row r="40" ht="15.5" customFormat="1" customHeight="1" s="8">
      <c r="A40" s="71" t="n"/>
      <c r="B40" s="18" t="n"/>
      <c r="C40" s="18" t="n"/>
      <c r="D40" s="94" t="n"/>
      <c r="E40" s="85" t="n"/>
      <c r="F40" s="85" t="n"/>
      <c r="G40" s="100" t="n"/>
    </row>
    <row r="41" ht="14.5" customFormat="1" customHeight="1" s="26">
      <c r="A41" s="70" t="inlineStr">
        <is>
          <t>Net Income Before Tax</t>
        </is>
      </c>
      <c r="B41" s="18" t="n"/>
      <c r="C41" s="18" t="n"/>
      <c r="D41" s="94">
        <f>D27-D39</f>
        <v/>
      </c>
      <c r="E41" s="85" t="n"/>
      <c r="F41" s="85" t="n"/>
      <c r="G41" s="100" t="n"/>
    </row>
    <row r="42" ht="14.5" customFormat="1" customHeight="1" s="26">
      <c r="A42" s="70" t="inlineStr">
        <is>
          <t>Income Tax Expense</t>
        </is>
      </c>
      <c r="B42" s="17" t="n">
        <v>0</v>
      </c>
      <c r="C42" s="17" t="n">
        <v>0</v>
      </c>
      <c r="D42" s="89" t="n"/>
      <c r="E42" s="86" t="n"/>
      <c r="F42" s="86" t="n"/>
      <c r="G42" s="101" t="n"/>
    </row>
    <row r="43" ht="15.5" customFormat="1" customHeight="1" s="8">
      <c r="A43" s="72" t="n"/>
      <c r="B43" s="7" t="n"/>
      <c r="C43" s="7" t="n"/>
      <c r="D43" s="95" t="n"/>
      <c r="E43" s="87" t="n"/>
      <c r="F43" s="87" t="n"/>
      <c r="G43" s="102" t="n"/>
    </row>
    <row r="44" ht="15.5" customFormat="1" customHeight="1" s="27">
      <c r="A44" s="69" t="inlineStr">
        <is>
          <t>NET INCOME</t>
        </is>
      </c>
      <c r="B44" s="32" t="n"/>
      <c r="C44" s="32" t="n"/>
      <c r="D44" s="32">
        <f>SUM(B44:C44)</f>
        <v/>
      </c>
      <c r="E44" s="82" t="n"/>
      <c r="F44" s="82" t="n"/>
      <c r="G44" s="82" t="n"/>
    </row>
    <row r="45" ht="15.5" customHeight="1">
      <c r="A45" s="73" t="n"/>
      <c r="B45" s="6" t="n"/>
      <c r="C45" s="6" t="n"/>
      <c r="D45" s="6" t="n"/>
    </row>
    <row r="46" ht="15.5" customHeight="1">
      <c r="A46" s="73" t="n"/>
      <c r="B46" s="6" t="n"/>
      <c r="C46" s="6" t="n"/>
      <c r="D46" s="6" t="n"/>
    </row>
    <row r="47" ht="15.5" customHeight="1">
      <c r="A47" s="73" t="n"/>
      <c r="B47" s="6" t="n"/>
      <c r="C47" s="6" t="n"/>
      <c r="D47" s="6" t="n"/>
    </row>
    <row r="48" ht="15.5" customHeight="1">
      <c r="A48" s="73" t="n"/>
      <c r="B48" s="6" t="n"/>
      <c r="C48" s="6" t="n"/>
      <c r="D48" s="6" t="n"/>
    </row>
    <row r="49" ht="15.5" customHeight="1">
      <c r="A49" s="73" t="n"/>
      <c r="B49" s="6" t="n"/>
      <c r="C49" s="6" t="n"/>
      <c r="D49" s="6" t="n"/>
    </row>
    <row r="50" ht="15.5" customHeight="1">
      <c r="A50" s="73" t="n"/>
      <c r="B50" s="6" t="n"/>
      <c r="C50" s="6" t="n"/>
      <c r="D50" s="6" t="n"/>
    </row>
    <row r="51" ht="15.5" customHeight="1">
      <c r="A51" s="73" t="n"/>
      <c r="B51" s="6" t="n"/>
      <c r="C51" s="6" t="n"/>
      <c r="D51" s="6" t="n"/>
    </row>
    <row r="52" ht="15.5" customHeight="1">
      <c r="A52" s="74" t="n"/>
      <c r="B52" s="6" t="n"/>
      <c r="C52" s="6" t="n"/>
      <c r="D52" s="6" t="n"/>
    </row>
    <row r="53" ht="15.5" customHeight="1">
      <c r="A53" s="73" t="n"/>
      <c r="B53" s="6" t="n"/>
      <c r="C53" s="6" t="n"/>
      <c r="D53" s="6" t="n"/>
    </row>
    <row r="54" ht="15.5" customHeight="1">
      <c r="A54" s="73" t="n"/>
      <c r="B54" s="6" t="n"/>
      <c r="C54" s="6" t="n"/>
      <c r="D54" s="6" t="n"/>
    </row>
    <row r="55" ht="15.5" customHeight="1">
      <c r="A55" s="73" t="n"/>
      <c r="B55" s="6" t="n"/>
      <c r="C55" s="6" t="n"/>
      <c r="D55" s="6" t="n"/>
    </row>
    <row r="56" ht="15.5" customHeight="1">
      <c r="A56" s="73" t="n"/>
      <c r="B56" s="6" t="n"/>
      <c r="C56" s="6" t="n"/>
      <c r="D56" s="6" t="n"/>
    </row>
    <row r="57" ht="15.5" customHeight="1">
      <c r="A57" s="73" t="n"/>
      <c r="B57" s="6" t="n"/>
      <c r="C57" s="6" t="n"/>
      <c r="D57" s="6" t="n"/>
    </row>
    <row r="58" ht="15.5" customHeight="1">
      <c r="A58" s="73" t="n"/>
      <c r="B58" s="6" t="n"/>
      <c r="C58" s="6" t="n"/>
      <c r="D58" s="6" t="n"/>
    </row>
    <row r="59" ht="15.5" customHeight="1">
      <c r="A59" s="73" t="n"/>
      <c r="B59" s="6" t="n"/>
      <c r="C59" s="6" t="n"/>
      <c r="D59" s="6" t="n"/>
    </row>
    <row r="60" ht="15.5" customHeight="1">
      <c r="A60" s="73" t="n"/>
      <c r="B60" s="6" t="n"/>
      <c r="C60" s="6" t="n"/>
      <c r="D60" s="6" t="n"/>
    </row>
    <row r="61" ht="15.5" customHeight="1">
      <c r="A61" s="73" t="n"/>
      <c r="B61" s="6" t="n"/>
      <c r="C61" s="6" t="n"/>
      <c r="D61" s="6" t="n"/>
    </row>
    <row r="62" ht="15.5" customHeight="1">
      <c r="A62" s="73" t="n"/>
      <c r="B62" s="6" t="n"/>
      <c r="C62" s="6" t="n"/>
      <c r="D62" s="6" t="n"/>
    </row>
    <row r="63" ht="15.5" customHeight="1">
      <c r="A63" s="73" t="n"/>
      <c r="B63" s="6" t="n"/>
      <c r="C63" s="6" t="n"/>
      <c r="D63" s="6" t="n"/>
    </row>
    <row r="64" ht="15.5" customHeight="1">
      <c r="A64" s="73" t="n"/>
      <c r="B64" s="6" t="n"/>
      <c r="C64" s="6" t="n"/>
      <c r="D64" s="6" t="n"/>
    </row>
    <row r="65" ht="15.5" customHeight="1">
      <c r="A65" s="73" t="n"/>
      <c r="B65" s="6" t="n"/>
      <c r="C65" s="6" t="n"/>
      <c r="D65" s="6" t="n"/>
    </row>
    <row r="66" ht="15.5" customHeight="1">
      <c r="A66" s="73" t="n"/>
      <c r="B66" s="6" t="n"/>
      <c r="C66" s="6" t="n"/>
      <c r="D66" s="6" t="n"/>
    </row>
    <row r="67" ht="15.5" customHeight="1">
      <c r="A67" s="73" t="n"/>
      <c r="B67" s="6" t="n"/>
      <c r="C67" s="6" t="n"/>
      <c r="D67" s="6" t="n"/>
    </row>
    <row r="68" ht="15.5" customHeight="1">
      <c r="A68" s="73" t="n"/>
      <c r="B68" s="6" t="n"/>
      <c r="C68" s="6" t="n"/>
      <c r="D68" s="6" t="n"/>
    </row>
    <row r="69" ht="15.5"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3203125" customWidth="1" style="41" min="4" max="4"/>
    <col width="10.5" customWidth="1" style="41" min="5" max="11"/>
    <col width="14.5" customWidth="1" style="41" min="12" max="12"/>
    <col width="10.5" customWidth="1" style="41" min="13" max="18"/>
    <col width="15.08203125" customWidth="1" style="41" min="19" max="19"/>
    <col width="14.58203125" customWidth="1" style="41" min="20" max="20"/>
    <col width="10.5" customWidth="1" style="41" min="21" max="24"/>
    <col width="13.5" customWidth="1" style="41" min="25" max="16384"/>
  </cols>
  <sheetData>
    <row r="1" ht="39" customHeight="1">
      <c r="A1" s="128" t="inlineStr">
        <is>
          <t>BUDGET FIGURES GIVEN ARE ONLY ILLUSTRATIVE AND NOT INDICATIVE OF INFORMATION OR TRENDS THAT WILL BE ASSESSED FAVOURABLY DURING SCORING.</t>
        </is>
      </c>
      <c r="G1" s="13" t="n"/>
      <c r="H1" s="13" t="n"/>
      <c r="I1" s="13" t="n"/>
    </row>
    <row r="2" ht="15.65" customHeight="1">
      <c r="A2" s="128" t="n"/>
      <c r="B2" s="128" t="n"/>
      <c r="C2" s="128" t="n"/>
      <c r="D2" s="128" t="n"/>
      <c r="E2" s="128" t="n"/>
      <c r="F2" s="128" t="n"/>
      <c r="G2" s="13" t="n"/>
      <c r="H2" s="13" t="n"/>
      <c r="I2" s="13" t="n"/>
    </row>
    <row r="3" ht="15.65" customHeight="1" thickBot="1">
      <c r="A3" s="127"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5" customHeight="1">
      <c r="A5" s="145" t="inlineStr">
        <is>
          <t>Expected Income</t>
        </is>
      </c>
      <c r="B5" s="144" t="n"/>
      <c r="C5" s="144" t="n"/>
      <c r="D5" s="146" t="n"/>
    </row>
    <row r="6" ht="15.5" customHeight="1">
      <c r="A6" s="21" t="inlineStr">
        <is>
          <t>Operating Income</t>
        </is>
      </c>
      <c r="B6" s="57">
        <f>B7+B8</f>
        <v/>
      </c>
      <c r="C6" s="57">
        <f>C7+C8</f>
        <v/>
      </c>
      <c r="D6" s="58">
        <f>SUM(B6:C6)</f>
        <v/>
      </c>
    </row>
    <row r="7" ht="14.5" customFormat="1" customHeight="1" s="37">
      <c r="A7" s="34" t="inlineStr">
        <is>
          <t>Revenue from Sales</t>
        </is>
      </c>
      <c r="B7" s="35" t="n">
        <v>5000</v>
      </c>
      <c r="C7" s="35" t="n">
        <v>7500</v>
      </c>
      <c r="D7" s="36" t="n"/>
    </row>
    <row r="8" ht="14.5" customFormat="1" customHeight="1" s="37">
      <c r="A8" s="34" t="inlineStr">
        <is>
          <t>Other</t>
        </is>
      </c>
      <c r="B8" s="38" t="n"/>
      <c r="C8" s="38" t="n"/>
      <c r="D8" s="36" t="n"/>
    </row>
    <row r="9" ht="15.5" customHeight="1">
      <c r="A9" s="59" t="n"/>
      <c r="B9" s="57" t="n"/>
      <c r="C9" s="57" t="n"/>
      <c r="D9" s="58" t="n"/>
    </row>
    <row r="10" ht="15.5" customHeight="1">
      <c r="A10" s="21" t="inlineStr">
        <is>
          <t>Non-Operating Income</t>
        </is>
      </c>
      <c r="B10" s="57">
        <f>B11+B12+B13+B14</f>
        <v/>
      </c>
      <c r="C10" s="57">
        <f>C11+C12+C13+C14</f>
        <v/>
      </c>
      <c r="D10" s="58">
        <f>SUM(B10:C10)</f>
        <v/>
      </c>
    </row>
    <row r="11" ht="14.5" customFormat="1" customHeight="1" s="37">
      <c r="A11" s="34" t="inlineStr">
        <is>
          <t>Capital Contribution</t>
        </is>
      </c>
      <c r="B11" s="35" t="n">
        <v>20000</v>
      </c>
      <c r="C11" s="35" t="n">
        <v>20000</v>
      </c>
      <c r="D11" s="36" t="n"/>
    </row>
    <row r="12" ht="14.5" customFormat="1" customHeight="1" s="37">
      <c r="A12" s="39" t="inlineStr">
        <is>
          <t>Investment</t>
        </is>
      </c>
      <c r="B12" s="35" t="n">
        <v>45000</v>
      </c>
      <c r="C12" s="35" t="n">
        <v>45000</v>
      </c>
      <c r="D12" s="36" t="n"/>
    </row>
    <row r="13" ht="14.5" customFormat="1" customHeight="1" s="37">
      <c r="A13" s="34" t="inlineStr">
        <is>
          <t>Donations</t>
        </is>
      </c>
      <c r="B13" s="35" t="n">
        <v>0</v>
      </c>
      <c r="C13" s="35" t="n">
        <v>0</v>
      </c>
      <c r="D13" s="36" t="n"/>
    </row>
    <row r="14" ht="14.5" customFormat="1" customHeight="1" s="37">
      <c r="A14" s="34" t="inlineStr">
        <is>
          <t>Other</t>
        </is>
      </c>
      <c r="B14" s="38" t="n"/>
      <c r="C14" s="38" t="n"/>
      <c r="D14" s="36" t="n"/>
    </row>
    <row r="15" ht="15.5" customHeight="1">
      <c r="A15" s="59" t="n"/>
      <c r="B15" s="57" t="n"/>
      <c r="C15" s="57" t="n"/>
      <c r="D15" s="58" t="n"/>
    </row>
    <row r="16" ht="15.5" customHeight="1">
      <c r="A16" s="22" t="inlineStr">
        <is>
          <t>TOTAL INCOME</t>
        </is>
      </c>
      <c r="B16" s="32">
        <f>B6+B10</f>
        <v/>
      </c>
      <c r="C16" s="32">
        <f>C6+C10</f>
        <v/>
      </c>
      <c r="D16" s="40">
        <f>SUM(B16:C16)</f>
        <v/>
      </c>
    </row>
    <row r="17" ht="15.5" customHeight="1">
      <c r="A17" s="59" t="n"/>
      <c r="B17" s="31" t="n"/>
      <c r="C17" s="31" t="n"/>
      <c r="D17" s="60" t="n"/>
    </row>
    <row r="18" ht="15.5" customHeight="1">
      <c r="A18" s="147" t="inlineStr">
        <is>
          <t>Expenses</t>
        </is>
      </c>
      <c r="B18" s="144" t="n"/>
      <c r="C18" s="144" t="n"/>
      <c r="D18" s="146" t="n"/>
    </row>
    <row r="19" ht="14.5" customFormat="1" customHeight="1" s="37">
      <c r="A19" s="34" t="inlineStr">
        <is>
          <t>Salaries &amp; Wages</t>
        </is>
      </c>
      <c r="B19" s="35" t="n">
        <v>50000</v>
      </c>
      <c r="C19" s="35" t="n">
        <v>60000</v>
      </c>
      <c r="D19" s="36" t="n"/>
    </row>
    <row r="20" ht="14.5" customFormat="1" customHeight="1" s="37">
      <c r="A20" s="34" t="inlineStr">
        <is>
          <t>General &amp; Administration</t>
        </is>
      </c>
      <c r="B20" s="35" t="n">
        <v>5000</v>
      </c>
      <c r="C20" s="35" t="n">
        <v>5000</v>
      </c>
      <c r="D20" s="36" t="n"/>
    </row>
    <row r="21" ht="14.5" customFormat="1" customHeight="1" s="37">
      <c r="A21" s="34" t="inlineStr">
        <is>
          <t>Marketing &amp; Distribution</t>
        </is>
      </c>
      <c r="B21" s="35" t="n">
        <v>1000</v>
      </c>
      <c r="C21" s="35" t="n">
        <v>1000</v>
      </c>
      <c r="D21" s="36" t="n"/>
    </row>
    <row r="22" ht="14.5" customFormat="1" customHeight="1" s="37">
      <c r="A22" s="34" t="inlineStr">
        <is>
          <t>Manufacturing</t>
        </is>
      </c>
      <c r="B22" s="35" t="n">
        <v>4500</v>
      </c>
      <c r="C22" s="35" t="n">
        <v>6000</v>
      </c>
      <c r="D22" s="36" t="n"/>
    </row>
    <row r="23" ht="14.5" customFormat="1" customHeight="1" s="37">
      <c r="A23" s="34" t="inlineStr">
        <is>
          <t>Other</t>
        </is>
      </c>
      <c r="B23" s="38" t="n"/>
      <c r="C23" s="38" t="n"/>
      <c r="D23" s="36" t="n"/>
    </row>
    <row r="24" ht="15.5" customHeight="1">
      <c r="A24" s="23" t="n"/>
      <c r="B24" s="57" t="n"/>
      <c r="C24" s="57" t="n"/>
      <c r="D24" s="58" t="n"/>
    </row>
    <row r="25" ht="15.5" customHeight="1">
      <c r="A25" s="22" t="inlineStr">
        <is>
          <t>TOTAL EXPENSE</t>
        </is>
      </c>
      <c r="B25" s="32">
        <f>SUM(B19:B23)</f>
        <v/>
      </c>
      <c r="C25" s="32">
        <f>SUM(C19:C23)</f>
        <v/>
      </c>
      <c r="D25" s="40">
        <f>SUM(B25:C25)</f>
        <v/>
      </c>
    </row>
    <row r="26" ht="14.5" customFormat="1" customHeight="1" s="37">
      <c r="A26" s="42" t="n"/>
      <c r="B26" s="43" t="n"/>
      <c r="C26" s="43" t="n"/>
      <c r="D26" s="44" t="n"/>
    </row>
    <row r="27" ht="1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5" customFormat="1" customHeight="1" s="37">
      <c r="A29" s="48" t="n"/>
      <c r="B29" s="48" t="n"/>
      <c r="C29" s="48" t="n"/>
      <c r="D29" s="48" t="n"/>
    </row>
    <row r="30" ht="15.5" customHeight="1">
      <c r="A30" s="24" t="inlineStr">
        <is>
          <t>NET INCOME</t>
        </is>
      </c>
      <c r="B30" s="32">
        <f>B27-B28</f>
        <v/>
      </c>
      <c r="C30" s="32">
        <f>C27-C28</f>
        <v/>
      </c>
      <c r="D30" s="32">
        <f>SUM(B30:C30)</f>
        <v/>
      </c>
    </row>
    <row r="31" ht="15.5" customHeight="1"/>
    <row r="32" ht="15.5" customHeight="1"/>
    <row r="33" ht="15.5" customHeight="1"/>
    <row r="34" ht="15.5" customHeight="1"/>
    <row r="35" ht="15.5" customHeight="1"/>
    <row r="36" ht="15.5" customHeight="1"/>
    <row r="37" ht="15.5" customHeight="1">
      <c r="A37" s="120" t="n"/>
    </row>
    <row r="38" ht="15.5" customHeight="1"/>
    <row r="39" ht="15.5" customHeight="1"/>
    <row r="40" ht="15.5" customHeight="1"/>
    <row r="41" ht="15.5" customHeight="1"/>
    <row r="42" ht="15.5" customHeight="1"/>
    <row r="43" ht="15.5" customHeight="1"/>
    <row r="44" ht="15.5" customHeight="1"/>
    <row r="45" ht="15.5" customHeight="1"/>
    <row r="46" ht="15.5" customHeight="1"/>
    <row r="47" ht="15.5" customHeight="1"/>
    <row r="48" ht="15.5" customHeight="1"/>
    <row r="49" ht="15.5" customHeight="1"/>
    <row r="50" ht="15.5" customHeight="1"/>
    <row r="51" ht="15.5" customHeight="1"/>
    <row r="52" ht="15.5" customHeight="1"/>
    <row r="53" ht="15.5" customHeight="1"/>
    <row r="54" ht="15.5" customHeight="1"/>
    <row r="55" ht="15.5" customHeight="1"/>
    <row r="56" ht="15.5" customHeight="1"/>
    <row r="57" ht="15.5" customHeight="1"/>
    <row r="58" ht="15.5" customHeight="1"/>
    <row r="59" ht="15.5" customHeight="1"/>
    <row r="60" ht="15.5" customHeight="1"/>
    <row r="61" ht="15.5" customHeight="1"/>
    <row r="62" ht="15.5" customHeight="1"/>
    <row r="63" ht="15.5" customHeight="1"/>
    <row r="64" ht="15.5" customHeight="1"/>
    <row r="65" ht="15.5" customHeight="1"/>
    <row r="66" ht="15.5" customHeight="1"/>
    <row r="67" ht="15.5" customHeight="1"/>
    <row r="68" ht="15.5" customHeight="1"/>
    <row r="69" ht="15.5" customHeight="1"/>
    <row r="70" ht="15.5" customHeight="1"/>
    <row r="71" ht="15.5" customHeight="1"/>
    <row r="72" ht="15.5" customHeight="1"/>
    <row r="73" ht="15.5" customHeight="1"/>
    <row r="74" ht="15.5" customHeight="1"/>
    <row r="75" ht="15.5" customHeight="1"/>
    <row r="76" ht="15.5" customHeight="1"/>
    <row r="77" ht="15.5" customHeight="1"/>
    <row r="78" ht="15.5" customHeight="1"/>
    <row r="79" ht="15.5" customHeight="1"/>
    <row r="80" ht="15.5" customHeight="1"/>
    <row r="81" ht="15.5" customHeight="1"/>
    <row r="82" ht="15.5" customHeight="1"/>
    <row r="83" ht="15.5" customHeight="1"/>
    <row r="84" ht="15.5" customHeight="1"/>
    <row r="85" ht="15.5" customHeight="1"/>
    <row r="86" ht="15.5" customHeight="1"/>
    <row r="87" ht="15.5" customHeight="1"/>
    <row r="88" ht="15.5" customHeight="1"/>
    <row r="89" ht="15.5" customHeight="1"/>
    <row r="90" ht="15.5" customHeight="1"/>
    <row r="91" ht="15.5" customHeight="1"/>
    <row r="92" ht="15.5" customHeight="1"/>
    <row r="93" ht="15.5" customHeight="1"/>
    <row r="94" ht="15.5" customHeight="1"/>
    <row r="95" ht="15.5" customHeight="1"/>
    <row r="96" ht="15.5" customHeight="1"/>
    <row r="97" ht="15.5" customHeight="1"/>
    <row r="98" ht="15.5" customHeight="1"/>
    <row r="99" ht="15.5" customHeight="1"/>
    <row r="100" ht="15.5" customHeight="1"/>
    <row r="101" ht="15.5" customHeight="1"/>
    <row r="102" ht="15.5" customHeight="1"/>
    <row r="103" ht="15.5" customHeight="1"/>
    <row r="104" ht="15.5" customHeight="1"/>
    <row r="105" ht="15.5" customHeight="1"/>
    <row r="106" ht="15.5" customHeight="1"/>
    <row r="107" ht="15.5" customHeight="1"/>
    <row r="108" ht="15.5" customHeight="1"/>
    <row r="109" ht="15.5" customHeight="1"/>
    <row r="110" ht="15.5" customHeight="1"/>
    <row r="111" ht="15.5" customHeight="1"/>
    <row r="112" ht="15.5" customHeight="1"/>
    <row r="113" ht="15.5" customHeight="1"/>
    <row r="114" ht="15.5" customHeight="1"/>
    <row r="115" ht="15.5" customHeight="1"/>
    <row r="116" ht="15.5" customHeight="1"/>
    <row r="117" ht="15.5" customHeight="1"/>
    <row r="118" ht="15.5" customHeight="1"/>
    <row r="119" ht="15.5" customHeight="1"/>
    <row r="120" ht="15.5" customHeight="1"/>
    <row r="121" ht="15.5" customHeight="1"/>
    <row r="122" ht="15.5" customHeight="1"/>
    <row r="123" ht="15.5" customHeight="1"/>
    <row r="124" ht="15.5" customHeight="1"/>
    <row r="125" ht="15.5" customHeight="1"/>
    <row r="126" ht="15.5" customHeight="1"/>
    <row r="127" ht="15.5" customHeight="1"/>
    <row r="128" ht="15.5" customHeight="1"/>
    <row r="129" ht="15.5" customHeight="1"/>
    <row r="130" ht="15.5" customHeight="1"/>
    <row r="131" ht="15.5" customHeight="1"/>
    <row r="132" ht="15.5" customHeight="1"/>
    <row r="133" ht="15.5" customHeight="1"/>
    <row r="134" ht="15.5" customHeight="1"/>
    <row r="135" ht="15.5" customHeight="1"/>
    <row r="136" ht="15.5" customHeight="1"/>
    <row r="137" ht="15.5" customHeight="1"/>
    <row r="138" ht="15.5" customHeight="1"/>
    <row r="139" ht="15.5" customHeight="1"/>
    <row r="140" ht="15.5" customHeight="1"/>
    <row r="141" ht="15.5" customHeight="1"/>
    <row r="142" ht="15.5" customHeight="1"/>
    <row r="143" ht="15.5" customHeight="1"/>
    <row r="144" ht="15.5" customHeight="1"/>
    <row r="145" ht="15.5" customHeight="1"/>
    <row r="146" ht="15.5" customHeight="1"/>
    <row r="147" ht="15.5" customHeight="1"/>
    <row r="148" ht="15.5" customHeight="1"/>
    <row r="149" ht="15.5" customHeight="1"/>
    <row r="150" ht="15.5" customHeight="1"/>
    <row r="151" ht="15.5" customHeight="1"/>
    <row r="152" ht="15.5" customHeight="1"/>
    <row r="153" ht="15.5" customHeight="1"/>
    <row r="154" ht="15.5" customHeight="1"/>
    <row r="155" ht="15.5" customHeight="1"/>
    <row r="156" ht="15.5" customHeight="1"/>
    <row r="157" ht="15.5" customHeight="1"/>
    <row r="158" ht="15.5" customHeight="1"/>
    <row r="159" ht="15.5" customHeight="1"/>
    <row r="160" ht="15.5" customHeight="1"/>
    <row r="161" ht="15.5" customHeight="1"/>
    <row r="162" ht="15.5" customHeight="1"/>
    <row r="163" ht="15.5" customHeight="1"/>
    <row r="164" ht="15.5" customHeight="1"/>
    <row r="165" ht="15.5" customHeight="1"/>
    <row r="166" ht="15.5" customHeight="1"/>
    <row r="167" ht="15.5" customHeight="1"/>
    <row r="168" ht="15.5" customHeight="1"/>
    <row r="169" ht="15.5" customHeight="1"/>
    <row r="170" ht="15.5" customHeight="1"/>
    <row r="171" ht="15.5" customHeight="1"/>
    <row r="172" ht="15.5" customHeight="1"/>
    <row r="173" ht="15.5" customHeight="1"/>
    <row r="174" ht="15.5" customHeight="1"/>
    <row r="175" ht="15.5" customHeight="1"/>
    <row r="176" ht="15.5" customHeight="1"/>
    <row r="177" ht="15.5" customHeight="1"/>
    <row r="178" ht="15.5" customHeight="1"/>
    <row r="179" ht="15.5" customHeight="1"/>
    <row r="180" ht="15.5" customHeight="1"/>
    <row r="181" ht="15.5" customHeight="1"/>
    <row r="182" ht="15.5" customHeight="1"/>
    <row r="183" ht="15.5" customHeight="1"/>
    <row r="184" ht="15.5" customHeight="1"/>
    <row r="185" ht="15.5" customHeight="1"/>
    <row r="186" ht="15.5" customHeight="1"/>
    <row r="187" ht="15.5" customHeight="1"/>
    <row r="188" ht="15.5" customHeight="1"/>
    <row r="189" ht="15.5" customHeight="1"/>
    <row r="190" ht="15.5" customHeight="1"/>
    <row r="191" ht="15.5" customHeight="1"/>
    <row r="192" ht="15.5" customHeight="1"/>
    <row r="193" ht="15.5" customHeight="1"/>
    <row r="194" ht="15.5" customHeight="1"/>
    <row r="195" ht="15.5" customHeight="1"/>
    <row r="196" ht="15.5" customHeight="1"/>
    <row r="197" ht="15.5" customHeight="1"/>
    <row r="198" ht="15.5" customHeight="1"/>
    <row r="199" ht="15.5" customHeight="1"/>
    <row r="200" ht="15.5" customHeight="1"/>
    <row r="201" ht="15.5" customHeight="1"/>
    <row r="202" ht="15.5" customHeight="1"/>
    <row r="203" ht="15.5" customHeight="1"/>
    <row r="204" ht="15.5" customHeight="1"/>
    <row r="205" ht="15.5" customHeight="1"/>
    <row r="206" ht="15.5" customHeight="1"/>
    <row r="207" ht="15.5" customHeight="1"/>
    <row r="208" ht="15.5" customHeight="1"/>
    <row r="209" ht="15.5" customHeight="1"/>
    <row r="210" ht="15.5" customHeight="1"/>
    <row r="211" ht="15.5" customHeight="1"/>
    <row r="212" ht="15.5" customHeight="1"/>
    <row r="213" ht="15.5" customHeight="1"/>
    <row r="214" ht="15.5" customHeight="1"/>
    <row r="215" ht="15.5" customHeight="1"/>
    <row r="216" ht="15.5" customHeight="1"/>
    <row r="217" ht="15.5" customHeight="1"/>
    <row r="218" ht="15.5" customHeight="1"/>
    <row r="219" ht="15.5" customHeight="1"/>
    <row r="220" ht="15.5" customHeight="1"/>
    <row r="221" ht="15.5" customHeight="1"/>
    <row r="222" ht="15.5" customHeight="1"/>
    <row r="223" ht="15.5" customHeight="1"/>
    <row r="224" ht="15.5" customHeight="1"/>
    <row r="225" ht="15.5" customHeight="1"/>
    <row r="226" ht="15.5" customHeight="1"/>
    <row r="227" ht="15.5" customHeight="1"/>
    <row r="228" ht="15.5" customHeight="1"/>
    <row r="229" ht="15.5" customHeight="1"/>
    <row r="230" ht="15.5" customHeight="1"/>
    <row r="231" ht="15.5" customHeight="1"/>
    <row r="232" ht="15.5" customHeight="1"/>
    <row r="233" ht="15.5" customHeight="1"/>
    <row r="234" ht="15.5" customHeight="1"/>
    <row r="235" ht="15.5" customHeight="1"/>
    <row r="236" ht="15.5" customHeight="1"/>
    <row r="237" ht="15.5" customHeight="1"/>
    <row r="238" ht="15.5" customHeight="1"/>
    <row r="239" ht="15.5" customHeight="1"/>
    <row r="240" ht="15.5" customHeight="1"/>
    <row r="241" ht="15.5" customHeight="1"/>
    <row r="242" ht="15.5" customHeight="1"/>
    <row r="243" ht="15.5" customHeight="1"/>
    <row r="244" ht="15.5" customHeight="1"/>
    <row r="245" ht="15.5" customHeight="1"/>
    <row r="246" ht="15.5" customHeight="1"/>
    <row r="247" ht="15.5" customHeight="1"/>
    <row r="248" ht="15.5" customHeight="1"/>
    <row r="249" ht="15.5" customHeight="1"/>
    <row r="250" ht="15.5" customHeight="1"/>
    <row r="251" ht="15.5" customHeight="1"/>
    <row r="252" ht="15.5" customHeight="1"/>
    <row r="253" ht="15.5" customHeight="1"/>
    <row r="254" ht="15.5" customHeight="1"/>
    <row r="255" ht="15.5" customHeight="1"/>
    <row r="256" ht="15.5" customHeight="1"/>
    <row r="257" ht="15.5" customHeight="1"/>
    <row r="258" ht="15.5" customHeight="1"/>
    <row r="259" ht="15.5" customHeight="1"/>
    <row r="260" ht="15.5" customHeight="1"/>
    <row r="261" ht="15.5" customHeight="1"/>
    <row r="262" ht="15.5" customHeight="1"/>
    <row r="263" ht="15.5" customHeight="1"/>
    <row r="264" ht="15.5" customHeight="1"/>
    <row r="265" ht="15.5" customHeight="1"/>
    <row r="266" ht="15.5" customHeight="1"/>
    <row r="267" ht="15.5" customHeight="1"/>
    <row r="268" ht="15.5" customHeight="1"/>
    <row r="269" ht="15.5" customHeight="1"/>
    <row r="270" ht="15.5" customHeight="1"/>
    <row r="271" ht="15.5" customHeight="1"/>
    <row r="272" ht="15.5" customHeight="1"/>
    <row r="273" ht="15.5" customHeight="1"/>
    <row r="274" ht="15.5" customHeight="1"/>
    <row r="275" ht="15.5" customHeight="1"/>
    <row r="276" ht="15.5" customHeight="1"/>
    <row r="277" ht="15.5" customHeight="1"/>
    <row r="278" ht="15.5" customHeight="1"/>
    <row r="279" ht="15.5" customHeight="1"/>
    <row r="280" ht="15.5" customHeight="1"/>
    <row r="281" ht="15.5" customHeight="1"/>
    <row r="282" ht="15.5" customHeight="1"/>
    <row r="283" ht="15.5" customHeight="1"/>
    <row r="284" ht="15.5" customHeight="1"/>
    <row r="285" ht="15.5" customHeight="1"/>
    <row r="286" ht="15.5" customHeight="1"/>
    <row r="287" ht="15.5" customHeight="1"/>
    <row r="288" ht="15.5" customHeight="1"/>
    <row r="289" ht="15.5" customHeight="1"/>
    <row r="290" ht="15.5" customHeight="1"/>
    <row r="291" ht="15.5" customHeight="1"/>
    <row r="292" ht="15.5" customHeight="1"/>
    <row r="293" ht="15.5" customHeight="1"/>
    <row r="294" ht="15.5" customHeight="1"/>
    <row r="295" ht="15.5" customHeight="1"/>
    <row r="296" ht="15.5" customHeight="1"/>
    <row r="297" ht="15.5" customHeight="1"/>
    <row r="298" ht="15.5" customHeight="1"/>
    <row r="299" ht="15.5" customHeight="1"/>
    <row r="300" ht="15.5" customHeight="1"/>
    <row r="301" ht="15.5" customHeight="1"/>
    <row r="302" ht="15.5" customHeight="1"/>
    <row r="303" ht="15.5" customHeight="1"/>
    <row r="304" ht="15.5" customHeight="1"/>
    <row r="305" ht="15.5" customHeight="1"/>
    <row r="306" ht="15.5" customHeight="1"/>
    <row r="307" ht="15.5" customHeight="1"/>
    <row r="308" ht="15.5" customHeight="1"/>
    <row r="309" ht="15.5" customHeight="1"/>
    <row r="310" ht="15.5" customHeight="1"/>
    <row r="311" ht="15.5" customHeight="1"/>
    <row r="312" ht="15.5" customHeight="1"/>
    <row r="313" ht="15.5" customHeight="1"/>
    <row r="314" ht="15.5" customHeight="1"/>
    <row r="315" ht="15.5" customHeight="1"/>
    <row r="316" ht="15.5" customHeight="1"/>
    <row r="317" ht="15.5" customHeight="1"/>
    <row r="318" ht="15.5" customHeight="1"/>
    <row r="319" ht="15.5" customHeight="1"/>
    <row r="320" ht="15.5" customHeight="1"/>
    <row r="321" ht="15.5" customHeight="1"/>
    <row r="322" ht="15.5" customHeight="1"/>
    <row r="323" ht="15.5" customHeight="1"/>
    <row r="324" ht="15.5" customHeight="1"/>
    <row r="325" ht="15.5" customHeight="1"/>
    <row r="326" ht="15.5" customHeight="1"/>
    <row r="327" ht="15.5" customHeight="1"/>
    <row r="328" ht="15.5" customHeight="1"/>
    <row r="329" ht="15.5" customHeight="1"/>
    <row r="330" ht="15.5" customHeight="1"/>
    <row r="331" ht="15.5" customHeight="1"/>
    <row r="332" ht="15.5" customHeight="1"/>
    <row r="333" ht="15.5" customHeight="1"/>
    <row r="334" ht="15.5" customHeight="1"/>
    <row r="335" ht="15.5" customHeight="1"/>
    <row r="336" ht="15.5" customHeight="1"/>
    <row r="337" ht="15.5" customHeight="1"/>
    <row r="338" ht="15.5" customHeight="1"/>
    <row r="339" ht="15.5" customHeight="1"/>
    <row r="340" ht="15.5" customHeight="1"/>
    <row r="341" ht="15.5" customHeight="1"/>
    <row r="342" ht="15.5" customHeight="1"/>
    <row r="343" ht="15.5" customHeight="1"/>
    <row r="344" ht="15.5" customHeight="1"/>
    <row r="345" ht="15.5" customHeight="1"/>
    <row r="346" ht="15.5" customHeight="1"/>
    <row r="347" ht="15.5" customHeight="1"/>
    <row r="348" ht="15.5" customHeight="1"/>
    <row r="349" ht="15.5" customHeight="1"/>
    <row r="350" ht="15.5" customHeight="1"/>
    <row r="351" ht="15.5" customHeight="1"/>
    <row r="352" ht="15.5" customHeight="1"/>
    <row r="353" ht="15.5" customHeight="1"/>
    <row r="354" ht="15.5" customHeight="1"/>
    <row r="355" ht="15.5" customHeight="1"/>
    <row r="356" ht="15.5" customHeight="1"/>
    <row r="357" ht="15.5" customHeight="1"/>
    <row r="358" ht="15.5" customHeight="1"/>
    <row r="359" ht="15.5" customHeight="1"/>
    <row r="360" ht="15.5" customHeight="1"/>
    <row r="361" ht="15.5" customHeight="1"/>
    <row r="362" ht="15.5" customHeight="1"/>
    <row r="363" ht="15.5" customHeight="1"/>
    <row r="364" ht="15.5" customHeight="1"/>
    <row r="365" ht="15.5" customHeight="1"/>
    <row r="366" ht="15.5" customHeight="1"/>
    <row r="367" ht="15.5" customHeight="1"/>
    <row r="368" ht="15.5" customHeight="1"/>
    <row r="369" ht="15.5" customHeight="1"/>
    <row r="370" ht="15.5" customHeight="1"/>
    <row r="371" ht="15.5" customHeight="1"/>
    <row r="372" ht="15.5" customHeight="1"/>
    <row r="373" ht="15.5" customHeight="1"/>
    <row r="374" ht="15.5" customHeight="1"/>
    <row r="375" ht="15.5" customHeight="1"/>
    <row r="376" ht="15.5" customHeight="1"/>
    <row r="377" ht="15.5" customHeight="1"/>
    <row r="378" ht="15.5" customHeight="1"/>
    <row r="379" ht="15.5" customHeight="1"/>
    <row r="380" ht="15.5" customHeight="1"/>
    <row r="381" ht="15.5" customHeight="1"/>
    <row r="382" ht="15.5" customHeight="1"/>
    <row r="383" ht="15.5" customHeight="1"/>
    <row r="384" ht="15.5" customHeight="1"/>
    <row r="385" ht="15.5" customHeight="1"/>
    <row r="386" ht="15.5" customHeight="1"/>
    <row r="387" ht="15.5" customHeight="1"/>
    <row r="388" ht="15.5" customHeight="1"/>
    <row r="389" ht="15.5" customHeight="1"/>
    <row r="390" ht="15.5" customHeight="1"/>
    <row r="391" ht="15.5" customHeight="1"/>
    <row r="392" ht="15.5" customHeight="1"/>
    <row r="393" ht="15.5" customHeight="1"/>
    <row r="394" ht="15.5" customHeight="1"/>
    <row r="395" ht="15.5" customHeight="1"/>
    <row r="396" ht="15.5" customHeight="1"/>
    <row r="397" ht="15.5" customHeight="1"/>
    <row r="398" ht="15.5" customHeight="1"/>
    <row r="399" ht="15.5" customHeight="1"/>
    <row r="400" ht="15.5" customHeight="1"/>
    <row r="401" ht="15.5" customHeight="1"/>
    <row r="402" ht="15.5" customHeight="1"/>
    <row r="403" ht="15.5" customHeight="1"/>
    <row r="404" ht="15.5" customHeight="1"/>
    <row r="405" ht="15.5" customHeight="1"/>
    <row r="406" ht="15.5" customHeight="1"/>
    <row r="407" ht="15.5" customHeight="1"/>
    <row r="408" ht="15.5" customHeight="1"/>
    <row r="409" ht="15.5" customHeight="1"/>
    <row r="410" ht="15.5" customHeight="1"/>
    <row r="411" ht="15.5" customHeight="1"/>
    <row r="412" ht="15.5" customHeight="1"/>
    <row r="413" ht="15.5" customHeight="1"/>
    <row r="414" ht="15.5" customHeight="1"/>
    <row r="415" ht="15.5" customHeight="1"/>
    <row r="416" ht="15.5" customHeight="1"/>
    <row r="417" ht="15.5" customHeight="1"/>
    <row r="418" ht="15.5" customHeight="1"/>
    <row r="419" ht="15.5" customHeight="1"/>
    <row r="420" ht="15.5" customHeight="1"/>
    <row r="421" ht="15.5" customHeight="1"/>
    <row r="422" ht="15.5" customHeight="1"/>
    <row r="423" ht="15.5" customHeight="1"/>
    <row r="424" ht="15.5" customHeight="1"/>
    <row r="425" ht="15.5" customHeight="1"/>
    <row r="426" ht="15.5" customHeight="1"/>
    <row r="427" ht="15.5" customHeight="1"/>
    <row r="428" ht="15.5" customHeight="1"/>
    <row r="429" ht="15.5" customHeight="1"/>
    <row r="430" ht="15.5" customHeight="1"/>
    <row r="431" ht="15.5" customHeight="1"/>
    <row r="432" ht="15.5" customHeight="1"/>
    <row r="433" ht="15.5" customHeight="1"/>
    <row r="434" ht="15.5" customHeight="1"/>
    <row r="435" ht="15.5" customHeight="1"/>
    <row r="436" ht="15.5" customHeight="1"/>
    <row r="437" ht="15.5" customHeight="1"/>
    <row r="438" ht="15.5" customHeight="1"/>
    <row r="439" ht="15.5" customHeight="1"/>
    <row r="440" ht="15.5" customHeight="1"/>
    <row r="441" ht="15.5" customHeight="1"/>
    <row r="442" ht="15.5" customHeight="1"/>
    <row r="443" ht="15.5" customHeight="1"/>
    <row r="444" ht="15.5" customHeight="1"/>
    <row r="445" ht="15.5" customHeight="1"/>
    <row r="446" ht="15.5" customHeight="1"/>
    <row r="447" ht="15.5" customHeight="1"/>
    <row r="448" ht="15.5" customHeight="1"/>
    <row r="449" ht="15.5" customHeight="1"/>
    <row r="450" ht="15.5" customHeight="1"/>
    <row r="451" ht="15.5" customHeight="1"/>
    <row r="452" ht="15.5" customHeight="1"/>
    <row r="453" ht="15.5" customHeight="1"/>
    <row r="454" ht="15.5" customHeight="1"/>
    <row r="455" ht="15.5" customHeight="1"/>
    <row r="456" ht="15.5" customHeight="1"/>
    <row r="457" ht="15.5" customHeight="1"/>
    <row r="458" ht="15.5" customHeight="1"/>
    <row r="459" ht="15.5" customHeight="1"/>
    <row r="460" ht="15.5" customHeight="1"/>
    <row r="461" ht="15.5" customHeight="1"/>
    <row r="462" ht="15.5" customHeight="1"/>
    <row r="463" ht="15.5" customHeight="1"/>
    <row r="464" ht="15.5" customHeight="1"/>
    <row r="465" ht="15.5" customHeight="1"/>
    <row r="466" ht="15.5" customHeight="1"/>
    <row r="467" ht="15.5" customHeight="1"/>
    <row r="468" ht="15.5" customHeight="1"/>
    <row r="469" ht="15.5" customHeight="1"/>
    <row r="470" ht="15.5" customHeight="1"/>
    <row r="471" ht="15.5" customHeight="1"/>
    <row r="472" ht="15.5" customHeight="1"/>
    <row r="473" ht="15.5" customHeight="1"/>
    <row r="474" ht="15.5" customHeight="1"/>
    <row r="475" ht="15.5" customHeight="1"/>
    <row r="476" ht="15.5" customHeight="1"/>
    <row r="477" ht="15.5" customHeight="1"/>
    <row r="478" ht="15.5" customHeight="1"/>
    <row r="479" ht="15.5" customHeight="1"/>
    <row r="480" ht="15.5" customHeight="1"/>
    <row r="481" ht="15.5" customHeight="1"/>
    <row r="482" ht="15.5" customHeight="1"/>
    <row r="483" ht="15.5" customHeight="1"/>
    <row r="484" ht="15.5" customHeight="1"/>
    <row r="485" ht="15.5" customHeight="1"/>
    <row r="486" ht="15.5" customHeight="1"/>
    <row r="487" ht="15.5" customHeight="1"/>
    <row r="488" ht="15.5" customHeight="1"/>
    <row r="489" ht="15.5" customHeight="1"/>
    <row r="490" ht="15.5" customHeight="1"/>
    <row r="491" ht="15.5" customHeight="1"/>
    <row r="492" ht="15.5" customHeight="1"/>
    <row r="493" ht="15.5" customHeight="1"/>
    <row r="494" ht="15.5" customHeight="1"/>
    <row r="495" ht="15.5" customHeight="1"/>
    <row r="496" ht="15.5" customHeight="1"/>
    <row r="497" ht="15.5" customHeight="1"/>
    <row r="498" ht="15.5" customHeight="1"/>
    <row r="499" ht="15.5" customHeight="1"/>
    <row r="500" ht="15.5" customHeight="1"/>
    <row r="501" ht="15.5" customHeight="1"/>
    <row r="502" ht="15.5" customHeight="1"/>
    <row r="503" ht="15.5" customHeight="1"/>
    <row r="504" ht="15.5" customHeight="1"/>
    <row r="505" ht="15.5" customHeight="1"/>
    <row r="506" ht="15.5" customHeight="1"/>
    <row r="507" ht="15.5" customHeight="1"/>
    <row r="508" ht="15.5" customHeight="1"/>
    <row r="509" ht="15.5" customHeight="1"/>
    <row r="510" ht="15.5" customHeight="1"/>
    <row r="511" ht="15.5" customHeight="1"/>
    <row r="512" ht="15.5" customHeight="1"/>
    <row r="513" ht="15.5" customHeight="1"/>
    <row r="514" ht="15.5" customHeight="1"/>
    <row r="515" ht="15.5" customHeight="1"/>
    <row r="516" ht="15.5" customHeight="1"/>
    <row r="517" ht="15.5" customHeight="1"/>
    <row r="518" ht="15.5" customHeight="1"/>
    <row r="519" ht="15.5" customHeight="1"/>
    <row r="520" ht="15.5" customHeight="1"/>
    <row r="521" ht="15.5" customHeight="1"/>
    <row r="522" ht="15.5" customHeight="1"/>
    <row r="523" ht="15.5" customHeight="1"/>
    <row r="524" ht="15.5" customHeight="1"/>
    <row r="525" ht="15.5" customHeight="1"/>
    <row r="526" ht="15.5" customHeight="1"/>
    <row r="527" ht="15.5" customHeight="1"/>
    <row r="528" ht="15.5" customHeight="1"/>
    <row r="529" ht="15.5" customHeight="1"/>
    <row r="530" ht="15.5" customHeight="1"/>
    <row r="531" ht="15.5" customHeight="1"/>
    <row r="532" ht="15.5" customHeight="1"/>
    <row r="533" ht="15.5" customHeight="1"/>
    <row r="534" ht="15.5" customHeight="1"/>
    <row r="535" ht="15.5" customHeight="1"/>
    <row r="536" ht="15.5" customHeight="1"/>
    <row r="537" ht="15.5" customHeight="1"/>
    <row r="538" ht="15.5" customHeight="1"/>
    <row r="539" ht="15.5" customHeight="1"/>
    <row r="540" ht="15.5" customHeight="1"/>
    <row r="541" ht="15.5" customHeight="1"/>
    <row r="542" ht="15.5" customHeight="1"/>
    <row r="543" ht="15.5" customHeight="1"/>
    <row r="544" ht="15.5" customHeight="1"/>
    <row r="545" ht="15.5" customHeight="1"/>
    <row r="546" ht="15.5" customHeight="1"/>
    <row r="547" ht="15.5" customHeight="1"/>
    <row r="548" ht="15.5" customHeight="1"/>
    <row r="549" ht="15.5" customHeight="1"/>
    <row r="550" ht="15.5" customHeight="1"/>
    <row r="551" ht="15.5" customHeight="1"/>
    <row r="552" ht="15.5" customHeight="1"/>
    <row r="553" ht="15.5" customHeight="1"/>
    <row r="554" ht="15.5" customHeight="1"/>
    <row r="555" ht="15.5" customHeight="1"/>
    <row r="556" ht="15.5" customHeight="1"/>
    <row r="557" ht="15.5" customHeight="1"/>
    <row r="558" ht="15.5" customHeight="1"/>
    <row r="559" ht="15.5" customHeight="1"/>
    <row r="560" ht="15.5" customHeight="1"/>
    <row r="561" ht="15.5" customHeight="1"/>
    <row r="562" ht="15.5" customHeight="1"/>
    <row r="563" ht="15.5" customHeight="1"/>
    <row r="564" ht="15.5" customHeight="1"/>
    <row r="565" ht="15.5" customHeight="1"/>
    <row r="566" ht="15.5" customHeight="1"/>
    <row r="567" ht="15.5" customHeight="1"/>
    <row r="568" ht="15.5" customHeight="1"/>
    <row r="569" ht="15.5" customHeight="1"/>
    <row r="570" ht="15.5" customHeight="1"/>
    <row r="571" ht="15.5" customHeight="1"/>
    <row r="572" ht="15.5" customHeight="1"/>
    <row r="573" ht="15.5" customHeight="1"/>
    <row r="574" ht="15.5" customHeight="1"/>
    <row r="575" ht="15.5" customHeight="1"/>
    <row r="576" ht="15.5" customHeight="1"/>
    <row r="577" ht="15.5" customHeight="1"/>
    <row r="578" ht="15.5" customHeight="1"/>
    <row r="579" ht="15.5" customHeight="1"/>
    <row r="580" ht="15.5" customHeight="1"/>
    <row r="581" ht="15.5" customHeight="1"/>
    <row r="582" ht="15.5" customHeight="1"/>
    <row r="583" ht="15.5" customHeight="1"/>
    <row r="584" ht="15.5" customHeight="1"/>
    <row r="585" ht="15.5" customHeight="1"/>
    <row r="586" ht="15.5" customHeight="1"/>
    <row r="587" ht="15.5" customHeight="1"/>
    <row r="588" ht="15.5" customHeight="1"/>
    <row r="589" ht="15.5" customHeight="1"/>
    <row r="590" ht="15.5" customHeight="1"/>
    <row r="591" ht="15.5" customHeight="1"/>
    <row r="592" ht="15.5" customHeight="1"/>
    <row r="593" ht="15.5" customHeight="1"/>
    <row r="594" ht="15.5" customHeight="1"/>
    <row r="595" ht="15.5" customHeight="1"/>
    <row r="596" ht="15.5" customHeight="1"/>
    <row r="597" ht="15.5" customHeight="1"/>
    <row r="598" ht="15.5" customHeight="1"/>
    <row r="599" ht="15.5" customHeight="1"/>
    <row r="600" ht="15.5" customHeight="1"/>
    <row r="601" ht="15.5" customHeight="1"/>
    <row r="602" ht="15.5" customHeight="1"/>
    <row r="603" ht="15.5" customHeight="1"/>
    <row r="604" ht="15.5" customHeight="1"/>
    <row r="605" ht="15.5" customHeight="1"/>
    <row r="606" ht="15.5" customHeight="1"/>
    <row r="607" ht="15.5" customHeight="1"/>
    <row r="608" ht="15.5" customHeight="1"/>
    <row r="609" ht="15.5" customHeight="1"/>
    <row r="610" ht="15.5" customHeight="1"/>
    <row r="611" ht="15.5" customHeight="1"/>
    <row r="612" ht="15.5" customHeight="1"/>
    <row r="613" ht="15.5" customHeight="1"/>
    <row r="614" ht="15.5" customHeight="1"/>
    <row r="615" ht="15.5" customHeight="1"/>
    <row r="616" ht="15.5" customHeight="1"/>
    <row r="617" ht="15.5" customHeight="1"/>
    <row r="618" ht="15.5" customHeight="1"/>
    <row r="619" ht="15.5" customHeight="1"/>
    <row r="620" ht="15.5" customHeight="1"/>
    <row r="621" ht="15.5" customHeight="1"/>
    <row r="622" ht="15.5" customHeight="1"/>
    <row r="623" ht="15.5" customHeight="1"/>
    <row r="624" ht="15.5" customHeight="1"/>
    <row r="625" ht="15.5" customHeight="1"/>
    <row r="626" ht="15.5" customHeight="1"/>
    <row r="627" ht="15.5" customHeight="1"/>
    <row r="628" ht="15.5" customHeight="1"/>
    <row r="629" ht="15.5" customHeight="1"/>
    <row r="630" ht="15.5" customHeight="1"/>
    <row r="631" ht="15.5" customHeight="1"/>
    <row r="632" ht="15.5" customHeight="1"/>
    <row r="633" ht="15.5" customHeight="1"/>
    <row r="634" ht="15.5" customHeight="1"/>
    <row r="635" ht="15.5" customHeight="1"/>
    <row r="636" ht="15.5" customHeight="1"/>
    <row r="637" ht="15.5" customHeight="1"/>
    <row r="638" ht="15.5" customHeight="1"/>
    <row r="639" ht="15.5" customHeight="1"/>
    <row r="640" ht="15.5" customHeight="1"/>
    <row r="641" ht="15.5" customHeight="1"/>
    <row r="642" ht="15.5" customHeight="1"/>
    <row r="643" ht="15.5" customHeight="1"/>
    <row r="644" ht="15.5" customHeight="1"/>
    <row r="645" ht="15.5" customHeight="1"/>
    <row r="646" ht="15.5" customHeight="1"/>
    <row r="647" ht="15.5" customHeight="1"/>
    <row r="648" ht="15.5" customHeight="1"/>
    <row r="649" ht="15.5" customHeight="1"/>
    <row r="650" ht="15.5" customHeight="1"/>
    <row r="651" ht="15.5" customHeight="1"/>
    <row r="652" ht="15.5" customHeight="1"/>
    <row r="653" ht="15.5" customHeight="1"/>
    <row r="654" ht="15.5" customHeight="1"/>
    <row r="655" ht="15.5" customHeight="1"/>
    <row r="656" ht="15.5" customHeight="1"/>
    <row r="657" ht="15.5" customHeight="1"/>
    <row r="658" ht="15.5" customHeight="1"/>
    <row r="659" ht="15.5" customHeight="1"/>
    <row r="660" ht="15.5" customHeight="1"/>
    <row r="661" ht="15.5" customHeight="1"/>
    <row r="662" ht="15.5" customHeight="1"/>
    <row r="663" ht="15.5" customHeight="1"/>
    <row r="664" ht="15.5" customHeight="1"/>
    <row r="665" ht="15.5" customHeight="1"/>
    <row r="666" ht="15.5" customHeight="1"/>
    <row r="667" ht="15.5" customHeight="1"/>
    <row r="668" ht="15.5" customHeight="1"/>
    <row r="669" ht="15.5" customHeight="1"/>
    <row r="670" ht="15.5" customHeight="1"/>
    <row r="671" ht="15.5" customHeight="1"/>
    <row r="672" ht="15.5" customHeight="1"/>
    <row r="673" ht="15.5" customHeight="1"/>
    <row r="674" ht="15.5" customHeight="1"/>
    <row r="675" ht="15.5" customHeight="1"/>
    <row r="676" ht="15.5" customHeight="1"/>
    <row r="677" ht="15.5" customHeight="1"/>
    <row r="678" ht="15.5" customHeight="1"/>
    <row r="679" ht="15.5" customHeight="1"/>
    <row r="680" ht="15.5" customHeight="1"/>
    <row r="681" ht="15.5" customHeight="1"/>
    <row r="682" ht="15.5" customHeight="1"/>
    <row r="683" ht="15.5" customHeight="1"/>
    <row r="684" ht="15.5" customHeight="1"/>
    <row r="685" ht="15.5" customHeight="1"/>
    <row r="686" ht="15.5" customHeight="1"/>
    <row r="687" ht="15.5" customHeight="1"/>
    <row r="688" ht="15.5" customHeight="1"/>
    <row r="689" ht="15.5" customHeight="1"/>
    <row r="690" ht="15.5" customHeight="1"/>
    <row r="691" ht="15.5" customHeight="1"/>
    <row r="692" ht="15.5" customHeight="1"/>
    <row r="693" ht="15.5" customHeight="1"/>
    <row r="694" ht="15.5" customHeight="1"/>
    <row r="695" ht="15.5" customHeight="1"/>
    <row r="696" ht="15.5" customHeight="1"/>
    <row r="697" ht="15.5" customHeight="1"/>
    <row r="698" ht="15.5" customHeight="1"/>
    <row r="699" ht="15.5" customHeight="1"/>
    <row r="700" ht="15.5" customHeight="1"/>
    <row r="701" ht="15.5" customHeight="1"/>
    <row r="702" ht="15.5" customHeight="1"/>
    <row r="703" ht="15.5" customHeight="1"/>
    <row r="704" ht="15.5" customHeight="1"/>
    <row r="705" ht="15.5" customHeight="1"/>
    <row r="706" ht="15.5" customHeight="1"/>
    <row r="707" ht="15.5" customHeight="1"/>
    <row r="708" ht="15.5" customHeight="1"/>
    <row r="709" ht="15.5" customHeight="1"/>
    <row r="710" ht="15.5" customHeight="1"/>
    <row r="711" ht="15.5" customHeight="1"/>
    <row r="712" ht="15.5" customHeight="1"/>
    <row r="713" ht="15.5" customHeight="1"/>
    <row r="714" ht="15.5" customHeight="1"/>
    <row r="715" ht="15.5" customHeight="1"/>
    <row r="716" ht="15.5" customHeight="1"/>
    <row r="717" ht="15.5" customHeight="1"/>
    <row r="718" ht="15.5" customHeight="1"/>
    <row r="719" ht="15.5" customHeight="1"/>
    <row r="720" ht="15.5" customHeight="1"/>
    <row r="721" ht="15.5" customHeight="1"/>
    <row r="722" ht="15.5" customHeight="1"/>
    <row r="723" ht="15.5" customHeight="1"/>
    <row r="724" ht="15.5" customHeight="1"/>
    <row r="725" ht="15.5" customHeight="1"/>
    <row r="726" ht="15.5" customHeight="1"/>
    <row r="727" ht="15.5" customHeight="1"/>
    <row r="728" ht="15.5" customHeight="1"/>
    <row r="729" ht="15.5" customHeight="1"/>
    <row r="730" ht="15.5" customHeight="1"/>
    <row r="731" ht="15.5" customHeight="1"/>
    <row r="732" ht="15.5" customHeight="1"/>
    <row r="733" ht="15.5" customHeight="1"/>
    <row r="734" ht="15.5" customHeight="1"/>
    <row r="735" ht="15.5" customHeight="1"/>
    <row r="736" ht="15.5" customHeight="1"/>
    <row r="737" ht="15.5" customHeight="1"/>
    <row r="738" ht="15.5" customHeight="1"/>
    <row r="739" ht="15.5" customHeight="1"/>
    <row r="740" ht="15.5" customHeight="1"/>
    <row r="741" ht="15.5" customHeight="1"/>
    <row r="742" ht="15.5" customHeight="1"/>
    <row r="743" ht="15.5" customHeight="1"/>
    <row r="744" ht="15.5" customHeight="1"/>
    <row r="745" ht="15.5" customHeight="1"/>
    <row r="746" ht="15.5" customHeight="1"/>
    <row r="747" ht="15.5" customHeight="1"/>
    <row r="748" ht="15.5" customHeight="1"/>
    <row r="749" ht="15.5" customHeight="1"/>
    <row r="750" ht="15.5" customHeight="1"/>
    <row r="751" ht="15.5" customHeight="1"/>
    <row r="752" ht="15.5" customHeight="1"/>
    <row r="753" ht="15.5" customHeight="1"/>
    <row r="754" ht="15.5" customHeight="1"/>
    <row r="755" ht="15.5" customHeight="1"/>
    <row r="756" ht="15.5" customHeight="1"/>
    <row r="757" ht="15.5" customHeight="1"/>
    <row r="758" ht="15.5" customHeight="1"/>
    <row r="759" ht="15.5" customHeight="1"/>
    <row r="760" ht="15.5" customHeight="1"/>
    <row r="761" ht="15.5" customHeight="1"/>
    <row r="762" ht="15.5" customHeight="1"/>
    <row r="763" ht="15.5" customHeight="1"/>
    <row r="764" ht="15.5" customHeight="1"/>
    <row r="765" ht="15.5" customHeight="1"/>
    <row r="766" ht="15.5" customHeight="1"/>
    <row r="767" ht="15.5" customHeight="1"/>
    <row r="768" ht="15.5" customHeight="1"/>
    <row r="769" ht="15.5" customHeight="1"/>
    <row r="770" ht="15.5" customHeight="1"/>
    <row r="771" ht="15.5" customHeight="1"/>
    <row r="772" ht="15.5" customHeight="1"/>
    <row r="773" ht="15.5" customHeight="1"/>
    <row r="774" ht="15.5" customHeight="1"/>
    <row r="775" ht="15.5" customHeight="1"/>
    <row r="776" ht="15.5" customHeight="1"/>
    <row r="777" ht="15.5" customHeight="1"/>
    <row r="778" ht="15.5" customHeight="1"/>
    <row r="779" ht="15.5" customHeight="1"/>
    <row r="780" ht="15.5" customHeight="1"/>
    <row r="781" ht="15.5" customHeight="1"/>
    <row r="782" ht="15.5" customHeight="1"/>
    <row r="783" ht="15.5" customHeight="1"/>
    <row r="784" ht="15.5" customHeight="1"/>
    <row r="785" ht="15.5" customHeight="1"/>
    <row r="786" ht="15.5" customHeight="1"/>
    <row r="787" ht="15.5" customHeight="1"/>
    <row r="788" ht="15.5" customHeight="1"/>
    <row r="789" ht="15.5" customHeight="1"/>
    <row r="790" ht="15.5" customHeight="1"/>
    <row r="791" ht="15.5" customHeight="1"/>
    <row r="792" ht="15.5" customHeight="1"/>
    <row r="793" ht="15.5" customHeight="1"/>
    <row r="794" ht="15.5" customHeight="1"/>
    <row r="795" ht="15.5" customHeight="1"/>
    <row r="796" ht="15.5" customHeight="1"/>
    <row r="797" ht="15.5" customHeight="1"/>
    <row r="798" ht="15.5" customHeight="1"/>
    <row r="799" ht="15.5" customHeight="1"/>
    <row r="800" ht="15.5" customHeight="1"/>
    <row r="801" ht="15.5" customHeight="1"/>
    <row r="802" ht="15.5" customHeight="1"/>
    <row r="803" ht="15.5" customHeight="1"/>
    <row r="804" ht="15.5" customHeight="1"/>
    <row r="805" ht="15.5" customHeight="1"/>
    <row r="806" ht="15.5" customHeight="1"/>
    <row r="807" ht="15.5" customHeight="1"/>
    <row r="808" ht="15.5" customHeight="1"/>
    <row r="809" ht="15.5" customHeight="1"/>
    <row r="810" ht="15.5" customHeight="1"/>
    <row r="811" ht="15.5" customHeight="1"/>
    <row r="812" ht="15.5" customHeight="1"/>
    <row r="813" ht="15.5" customHeight="1"/>
    <row r="814" ht="15.5" customHeight="1"/>
    <row r="815" ht="15.5" customHeight="1"/>
    <row r="816" ht="15.5" customHeight="1"/>
    <row r="817" ht="15.5" customHeight="1"/>
    <row r="818" ht="15.5" customHeight="1"/>
    <row r="819" ht="15.5" customHeight="1"/>
    <row r="820" ht="15.5" customHeight="1"/>
    <row r="821" ht="15.5" customHeight="1"/>
    <row r="822" ht="15.5" customHeight="1"/>
    <row r="823" ht="15.5" customHeight="1"/>
    <row r="824" ht="15.5" customHeight="1"/>
    <row r="825" ht="15.5" customHeight="1"/>
    <row r="826" ht="15.5" customHeight="1"/>
    <row r="827" ht="15.5" customHeight="1"/>
    <row r="828" ht="15.5" customHeight="1"/>
    <row r="829" ht="15.5" customHeight="1"/>
    <row r="830" ht="15.5" customHeight="1"/>
    <row r="831" ht="15.5" customHeight="1"/>
    <row r="832" ht="15.5" customHeight="1"/>
    <row r="833" ht="15.5" customHeight="1"/>
    <row r="834" ht="15.5" customHeight="1"/>
    <row r="835" ht="15.5" customHeight="1"/>
    <row r="836" ht="15.5" customHeight="1"/>
    <row r="837" ht="15.5" customHeight="1"/>
    <row r="838" ht="15.5" customHeight="1"/>
    <row r="839" ht="15.5" customHeight="1"/>
    <row r="840" ht="15.5" customHeight="1"/>
    <row r="841" ht="15.5" customHeight="1"/>
    <row r="842" ht="15.5" customHeight="1"/>
    <row r="843" ht="15.5" customHeight="1"/>
    <row r="844" ht="15.5" customHeight="1"/>
    <row r="845" ht="15.5" customHeight="1"/>
    <row r="846" ht="15.5" customHeight="1"/>
    <row r="847" ht="15.5" customHeight="1"/>
    <row r="848" ht="15.5" customHeight="1"/>
    <row r="849" ht="15.5" customHeight="1"/>
    <row r="850" ht="15.5" customHeight="1"/>
    <row r="851" ht="15.5" customHeight="1"/>
    <row r="852" ht="15.5" customHeight="1"/>
    <row r="853" ht="15.5" customHeight="1"/>
    <row r="854" ht="15.5" customHeight="1"/>
    <row r="855" ht="15.5" customHeight="1"/>
    <row r="856" ht="15.5" customHeight="1"/>
    <row r="857" ht="15.5" customHeight="1"/>
    <row r="858" ht="15.5" customHeight="1"/>
    <row r="859" ht="15.5" customHeight="1"/>
    <row r="860" ht="15.5" customHeight="1"/>
    <row r="861" ht="15.5" customHeight="1"/>
    <row r="862" ht="15.5" customHeight="1"/>
    <row r="863" ht="15.5" customHeight="1"/>
    <row r="864" ht="15.5" customHeight="1"/>
    <row r="865" ht="15.5" customHeight="1"/>
    <row r="866" ht="15.5" customHeight="1"/>
    <row r="867" ht="15.5" customHeight="1"/>
    <row r="868" ht="15.5" customHeight="1"/>
    <row r="869" ht="15.5" customHeight="1"/>
    <row r="870" ht="15.5" customHeight="1"/>
    <row r="871" ht="15.5" customHeight="1"/>
    <row r="872" ht="15.5" customHeight="1"/>
    <row r="873" ht="15.5" customHeight="1"/>
    <row r="874" ht="15.5" customHeight="1"/>
    <row r="875" ht="15.5" customHeight="1"/>
    <row r="876" ht="15.5" customHeight="1"/>
    <row r="877" ht="15.5" customHeight="1"/>
    <row r="878" ht="15.5" customHeight="1"/>
    <row r="879" ht="15.5" customHeight="1"/>
    <row r="880" ht="15.5" customHeight="1"/>
    <row r="881" ht="15.5" customHeight="1"/>
    <row r="882" ht="15.5" customHeight="1"/>
    <row r="883" ht="15.5" customHeight="1"/>
    <row r="884" ht="15.5" customHeight="1"/>
    <row r="885" ht="15.5" customHeight="1"/>
    <row r="886" ht="15.5" customHeight="1"/>
    <row r="887" ht="15.5" customHeight="1"/>
    <row r="888" ht="15.5" customHeight="1"/>
    <row r="889" ht="15.5" customHeight="1"/>
    <row r="890" ht="15.5" customHeight="1"/>
    <row r="891" ht="15.5" customHeight="1"/>
    <row r="892" ht="15.5" customHeight="1"/>
    <row r="893" ht="15.5" customHeight="1"/>
    <row r="894" ht="15.5" customHeight="1"/>
    <row r="895" ht="15.5" customHeight="1"/>
    <row r="896" ht="15.5" customHeight="1"/>
    <row r="897" ht="15.5" customHeight="1"/>
    <row r="898" ht="15.5" customHeight="1"/>
    <row r="899" ht="15.5" customHeight="1"/>
    <row r="900" ht="15.5" customHeight="1"/>
    <row r="901" ht="15.5" customHeight="1"/>
    <row r="902" ht="15.5" customHeight="1"/>
    <row r="903" ht="15.5" customHeight="1"/>
    <row r="904" ht="15.5" customHeight="1"/>
    <row r="905" ht="15.5" customHeight="1"/>
    <row r="906" ht="15.5" customHeight="1"/>
    <row r="907" ht="15.5" customHeight="1"/>
    <row r="908" ht="15.5" customHeight="1"/>
    <row r="909" ht="15.5" customHeight="1"/>
    <row r="910" ht="15.5" customHeight="1"/>
    <row r="911" ht="15.5" customHeight="1"/>
    <row r="912" ht="15.5" customHeight="1"/>
    <row r="913" ht="15.5" customHeight="1"/>
    <row r="914" ht="15.5" customHeight="1"/>
    <row r="915" ht="15.5" customHeight="1"/>
    <row r="916" ht="15.5" customHeight="1"/>
    <row r="917" ht="15.5" customHeight="1"/>
    <row r="918" ht="15.5" customHeight="1"/>
    <row r="919" ht="15.5" customHeight="1"/>
    <row r="920" ht="15.5" customHeight="1"/>
    <row r="921" ht="15.5" customHeight="1"/>
    <row r="922" ht="15.5" customHeight="1"/>
    <row r="923" ht="15.5" customHeight="1"/>
    <row r="924" ht="15.5" customHeight="1"/>
    <row r="925" ht="15.5" customHeight="1"/>
    <row r="926" ht="15.5" customHeight="1"/>
    <row r="927" ht="15.5" customHeight="1"/>
    <row r="928" ht="15.5" customHeight="1"/>
    <row r="929" ht="15.5" customHeight="1"/>
    <row r="930" ht="15.5" customHeight="1"/>
    <row r="931" ht="15.5" customHeight="1"/>
    <row r="932" ht="15.5" customHeight="1"/>
    <row r="933" ht="15.5" customHeight="1"/>
    <row r="934" ht="15.5" customHeight="1"/>
    <row r="935" ht="15.5" customHeight="1"/>
    <row r="936" ht="15.5" customHeight="1"/>
    <row r="937" ht="15.5" customHeight="1"/>
    <row r="938" ht="15.5" customHeight="1"/>
    <row r="939" ht="15.5" customHeight="1"/>
    <row r="940" ht="15.5" customHeight="1"/>
    <row r="941" ht="15.5" customHeight="1"/>
    <row r="942" ht="15.5" customHeight="1"/>
    <row r="943" ht="15.5" customHeight="1"/>
    <row r="944" ht="15.5" customHeight="1"/>
    <row r="945" ht="15.5" customHeight="1"/>
    <row r="946" ht="15.5" customHeight="1"/>
    <row r="947" ht="15.5" customHeight="1"/>
    <row r="948" ht="15.5" customHeight="1"/>
    <row r="949" ht="15.5" customHeight="1"/>
    <row r="950" ht="15.5" customHeight="1"/>
    <row r="951" ht="15.5" customHeight="1"/>
    <row r="952" ht="15.5" customHeight="1"/>
    <row r="953" ht="15.5" customHeight="1"/>
    <row r="954" ht="15.5" customHeight="1"/>
    <row r="955" ht="15.5" customHeight="1"/>
    <row r="956" ht="15.5" customHeight="1"/>
    <row r="957" ht="15.5" customHeight="1"/>
    <row r="958" ht="15.5" customHeight="1"/>
    <row r="959" ht="15.5" customHeight="1"/>
    <row r="960" ht="15.5" customHeight="1"/>
    <row r="961" ht="15.5" customHeight="1"/>
    <row r="962" ht="15.5" customHeight="1"/>
    <row r="963" ht="15.5" customHeight="1"/>
    <row r="964" ht="15.5" customHeight="1"/>
    <row r="965" ht="15.5" customHeight="1"/>
    <row r="966" ht="15.5" customHeight="1"/>
    <row r="967" ht="15.5" customHeight="1"/>
    <row r="968" ht="15.5" customHeight="1"/>
    <row r="969" ht="15.5" customHeight="1"/>
    <row r="970" ht="15.5" customHeight="1"/>
    <row r="971" ht="15.5" customHeight="1"/>
    <row r="972" ht="15.5" customHeight="1"/>
    <row r="973" ht="15.5" customHeight="1"/>
    <row r="974" ht="15.5" customHeight="1"/>
    <row r="975" ht="15.5" customHeight="1"/>
    <row r="976" ht="15.5" customHeight="1"/>
    <row r="977" ht="15.5" customHeight="1"/>
    <row r="978" ht="15.5" customHeight="1"/>
    <row r="979" ht="15.5" customHeight="1"/>
    <row r="980" ht="15.5" customHeight="1"/>
    <row r="981" ht="15.5" customHeight="1"/>
    <row r="982" ht="15.5" customHeight="1"/>
    <row r="983" ht="15.5" customHeight="1"/>
    <row r="984" ht="15.5" customHeight="1"/>
    <row r="985" ht="15.5" customHeight="1"/>
    <row r="986" ht="15.5" customHeight="1"/>
    <row r="987" ht="15.5" customHeight="1"/>
    <row r="988" ht="15.5" customHeight="1"/>
    <row r="989" ht="15.5" customHeight="1"/>
    <row r="990" ht="15.5" customHeight="1"/>
    <row r="991" ht="15.5" customHeight="1"/>
    <row r="992" ht="15.5" customHeight="1"/>
    <row r="993" ht="15.5" customHeight="1"/>
    <row r="994" ht="15.5" customHeight="1"/>
    <row r="995" ht="15.5" customHeight="1"/>
    <row r="996" ht="15.5" customHeight="1"/>
    <row r="997" ht="15.5" customHeight="1"/>
    <row r="998" ht="15.5" customHeight="1"/>
    <row r="999" ht="15.5" customHeight="1"/>
    <row r="1000" ht="15.5"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Office Of Innovation</dc:creator>
  <dcterms:created xsi:type="dcterms:W3CDTF">2017-03-08T15:16:50Z</dcterms:created>
  <dcterms:modified xsi:type="dcterms:W3CDTF">2026-08-09T09:28:53Z</dcterms:modified>
  <cp:lastModifiedBy>Sophie Lee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0x010100902655A1DBCCFE47BBD0E6B70D5BB6C1</vt:lpwstr>
  </property>
  <property name="OfficeDivision" fmtid="{D5CDD505-2E9C-101B-9397-08002B2CF9AE}" pid="3">
    <vt:lpwstr>3;#Office of Global Innovation-240B|a38e29fd-ea29-4c98-a7c2-ed22641cac42</vt:lpwstr>
  </property>
  <property name="_dlc_DocIdItemGuid" fmtid="{D5CDD505-2E9C-101B-9397-08002B2CF9AE}" pid="4">
    <vt:lpwstr>bee52506-0fa5-46ed-9faa-e8bf93b5001c</vt:lpwstr>
  </property>
  <property name="Order" fmtid="{D5CDD505-2E9C-101B-9397-08002B2CF9AE}" pid="5">
    <vt:r8>6733800</vt:r8>
  </property>
  <property name="ComplianceAssetId" fmtid="{D5CDD505-2E9C-101B-9397-08002B2CF9AE}" pid="6">
    <vt:lpwstr/>
  </property>
  <property name="_ExtendedDescription" fmtid="{D5CDD505-2E9C-101B-9397-08002B2CF9AE}" pid="7">
    <vt:lpwstr/>
  </property>
  <property name="TriggerFlowInfo" fmtid="{D5CDD505-2E9C-101B-9397-08002B2CF9AE}" pid="8">
    <vt:lpwstr/>
  </property>
  <property name="SystemDTAC" fmtid="{D5CDD505-2E9C-101B-9397-08002B2CF9AE}" pid="9">
    <vt:lpwstr/>
  </property>
  <property name="TaxKeyword" fmtid="{D5CDD505-2E9C-101B-9397-08002B2CF9AE}" pid="10">
    <vt:lpwstr/>
  </property>
  <property name="Topic" fmtid="{D5CDD505-2E9C-101B-9397-08002B2CF9AE}" pid="11">
    <vt:lpwstr/>
  </property>
  <property name="CriticalForLongTermRetention" fmtid="{D5CDD505-2E9C-101B-9397-08002B2CF9AE}" pid="12">
    <vt:lpwstr/>
  </property>
  <property name="DocumentType" fmtid="{D5CDD505-2E9C-101B-9397-08002B2CF9AE}" pid="13">
    <vt:lpwstr/>
  </property>
  <property name="GeographicScope" fmtid="{D5CDD505-2E9C-101B-9397-08002B2CF9AE}" pid="14">
    <vt:lpwstr/>
  </property>
  <property name="MediaServiceImageTags" fmtid="{D5CDD505-2E9C-101B-9397-08002B2CF9AE}" pid="15">
    <vt:lpwstr/>
  </property>
  <property name="xd_ProgID" fmtid="{D5CDD505-2E9C-101B-9397-08002B2CF9AE}" pid="16">
    <vt:lpwstr/>
  </property>
  <property name="ContentLanguage" fmtid="{D5CDD505-2E9C-101B-9397-08002B2CF9AE}" pid="17">
    <vt:lpwstr>English</vt:lpwstr>
  </property>
  <property name="TemplateUrl" fmtid="{D5CDD505-2E9C-101B-9397-08002B2CF9AE}" pid="18">
    <vt:lpwstr/>
  </property>
  <property name="xd_Signature" fmtid="{D5CDD505-2E9C-101B-9397-08002B2CF9AE}" pid="19">
    <vt:bool>0</vt:bool>
  </property>
  <property name="ga975397408f43e4b84ec8e5a598e523" fmtid="{D5CDD505-2E9C-101B-9397-08002B2CF9AE}" pid="20">
    <vt:lpwstr>Office of Global Innovation-240B|a38e29fd-ea29-4c98-a7c2-ed22641cac42</vt:lpwstr>
  </property>
</Properties>
</file>